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 - Cronograma" sheetId="1" r:id="rId4"/>
    <sheet state="visible" name="Resumen por Fase" sheetId="2" r:id="rId5"/>
    <sheet state="visible" name="Hoja 2" sheetId="3" r:id="rId6"/>
  </sheets>
  <definedNames/>
  <calcPr/>
  <extLst>
    <ext uri="GoogleSheetsCustomDataVersion2">
      <go:sheetsCustomData xmlns:go="http://customooxmlschemas.google.com/" r:id="rId7" roundtripDataChecksum="3WzWRVZcm9oS6THNLe8qfyedYZ2aL4zOwujhMspOGgI="/>
    </ext>
  </extLst>
</workbook>
</file>

<file path=xl/sharedStrings.xml><?xml version="1.0" encoding="utf-8"?>
<sst xmlns="http://schemas.openxmlformats.org/spreadsheetml/2006/main" count="716" uniqueCount="490">
  <si>
    <t>ID</t>
  </si>
  <si>
    <t>Entregable / Tarea</t>
  </si>
  <si>
    <t>Duración (días)</t>
  </si>
  <si>
    <t>Observaciones</t>
  </si>
  <si>
    <t>1</t>
  </si>
  <si>
    <t>ALCANCE TÉCNICO DEL PROCESO DEFINIDO</t>
  </si>
  <si>
    <t>1.1</t>
  </si>
  <si>
    <t>Familia de bebidas y contexto operacional definidos</t>
  </si>
  <si>
    <t>1.2</t>
  </si>
  <si>
    <t>Portafolio de tres productos diferenciado</t>
  </si>
  <si>
    <t>1.3</t>
  </si>
  <si>
    <t>Especificación de envases y formatos establecida</t>
  </si>
  <si>
    <t>1.4</t>
  </si>
  <si>
    <t>Recetas y parámetros críticos documentados</t>
  </si>
  <si>
    <t>1.5</t>
  </si>
  <si>
    <t>Transformaciones térmicas/químicas identificadas</t>
  </si>
  <si>
    <t>1.6</t>
  </si>
  <si>
    <t>Estrategia de calidad y trazabilidad definida</t>
  </si>
  <si>
    <t>1.7</t>
  </si>
  <si>
    <t>Interacción operador–SCADA definida</t>
  </si>
  <si>
    <t>1.8</t>
  </si>
  <si>
    <t>Indicadores por producto establecidos</t>
  </si>
  <si>
    <t>2</t>
  </si>
  <si>
    <t>LEVANTAMIENTO DE INFORMACIÓN Y ANÁLISIS AS-IS</t>
  </si>
  <si>
    <t>2.1</t>
  </si>
  <si>
    <t>Levantamiento técnico del proceso consolidado</t>
  </si>
  <si>
    <t>2.2</t>
  </si>
  <si>
    <t>Diagrama general del proceso elaborado</t>
  </si>
  <si>
    <t>2.3</t>
  </si>
  <si>
    <t>Flujo de materiales e información definido</t>
  </si>
  <si>
    <t>2.4</t>
  </si>
  <si>
    <t>Estaciones, equipos y recursos caracterizados</t>
  </si>
  <si>
    <t>2.5</t>
  </si>
  <si>
    <t>Tiempos base de operación estimados</t>
  </si>
  <si>
    <t>2.6</t>
  </si>
  <si>
    <t>VSM estado actual elaborado</t>
  </si>
  <si>
    <t>2.7</t>
  </si>
  <si>
    <t>Desperdicios/Muda identificados</t>
  </si>
  <si>
    <t>2.8</t>
  </si>
  <si>
    <t>Indicadores AS-IS calculados</t>
  </si>
  <si>
    <t>2.9</t>
  </si>
  <si>
    <t>Fallas típicas y parámetros de mantenimiento caracterizados</t>
  </si>
  <si>
    <t>2.10</t>
  </si>
  <si>
    <t>Modelo conceptual de simulación documentado</t>
  </si>
  <si>
    <t>3</t>
  </si>
  <si>
    <t>DISEÑO FUTURO DEL PROCESO DEFINIDO</t>
  </si>
  <si>
    <t>3.1</t>
  </si>
  <si>
    <t>Objetivos de mejora aprobados</t>
  </si>
  <si>
    <t>3.2</t>
  </si>
  <si>
    <t>Propuesta Lean/preautomatización formulada</t>
  </si>
  <si>
    <t>Actividad crítica</t>
  </si>
  <si>
    <t>3.3</t>
  </si>
  <si>
    <t>VSM estado futuro elaborado</t>
  </si>
  <si>
    <t>3.4</t>
  </si>
  <si>
    <t>Estrategia multiproducto definida</t>
  </si>
  <si>
    <t>3.5</t>
  </si>
  <si>
    <t>Estrategia de cambio de formato definida</t>
  </si>
  <si>
    <t>3.6</t>
  </si>
  <si>
    <t>Estrategia de fallas y recuperación definida</t>
  </si>
  <si>
    <t>3.7</t>
  </si>
  <si>
    <t>Estrategia de rechazo y reproceso definida</t>
  </si>
  <si>
    <t>4</t>
  </si>
  <si>
    <t>ARQUITECTURA DE AUTOMATIZACIÓN E INSTRUMENTACIÓN DEFINIDA</t>
  </si>
  <si>
    <t>4.1</t>
  </si>
  <si>
    <t>Arquitectura ISA-95 documentada</t>
  </si>
  <si>
    <t>4.2</t>
  </si>
  <si>
    <t>Arquitectura de comunicaciones definida</t>
  </si>
  <si>
    <t>4.3</t>
  </si>
  <si>
    <t>Topología de red industrial definida</t>
  </si>
  <si>
    <t>4.4</t>
  </si>
  <si>
    <t>Lista de E/S y tags consolidada</t>
  </si>
  <si>
    <t>4.5</t>
  </si>
  <si>
    <t>PFD/P&amp;ID del sistema elaborados</t>
  </si>
  <si>
    <t>4.6</t>
  </si>
  <si>
    <t>Matriz de señales y alarmas elaborada</t>
  </si>
  <si>
    <t>4.7</t>
  </si>
  <si>
    <t>Requisitos de historización, eventos y lotes definidos</t>
  </si>
  <si>
    <t>5</t>
  </si>
  <si>
    <t>EVALUACIÓN PRODUCTIVA POR SIMULACIÓN COMPLETADA</t>
  </si>
  <si>
    <t>5.1</t>
  </si>
  <si>
    <t>Modelo AS-IS diseñado</t>
  </si>
  <si>
    <t>5.2</t>
  </si>
  <si>
    <t>Modelo AS-IS validado</t>
  </si>
  <si>
    <t>5.3</t>
  </si>
  <si>
    <t>Escenarios AS-IS simulados</t>
  </si>
  <si>
    <t>5.4</t>
  </si>
  <si>
    <t>Desempeño AS-IS cuantificado</t>
  </si>
  <si>
    <t>5.5</t>
  </si>
  <si>
    <t>Escenarios TO-BE diseñados</t>
  </si>
  <si>
    <t>5.6</t>
  </si>
  <si>
    <t>Modelo TO-BE simulado</t>
  </si>
  <si>
    <t>5.7</t>
  </si>
  <si>
    <t>OEE y KPIs por escenario calculados</t>
  </si>
  <si>
    <t>5.8</t>
  </si>
  <si>
    <t>Comparativo AS-IS vs TO-BE consolidado</t>
  </si>
  <si>
    <t>6</t>
  </si>
  <si>
    <t>VIABILIDAD TÉCNICO-ECONÓMICA SUSTENTADA</t>
  </si>
  <si>
    <t>6.1</t>
  </si>
  <si>
    <t>EDT y diccionario EDT aprobados</t>
  </si>
  <si>
    <t>6.2</t>
  </si>
  <si>
    <t>Cronograma base del proyecto estructurado</t>
  </si>
  <si>
    <t>6.3</t>
  </si>
  <si>
    <t>Plan de recursos consolidado</t>
  </si>
  <si>
    <t>6.4</t>
  </si>
  <si>
    <t>Presupuesto CAPEX/OPEX consolidado</t>
  </si>
  <si>
    <t>6.5</t>
  </si>
  <si>
    <t>Evidencias de precios recopiladas</t>
  </si>
  <si>
    <t>6.6</t>
  </si>
  <si>
    <t>Flujo de caja documentado</t>
  </si>
  <si>
    <t>6.7</t>
  </si>
  <si>
    <t>Indicadores financieros calculados</t>
  </si>
  <si>
    <t>6.8</t>
  </si>
  <si>
    <t>Sensibilidad financiera elaborada</t>
  </si>
  <si>
    <t>6.9</t>
  </si>
  <si>
    <t>Propuesta de valor formulada</t>
  </si>
  <si>
    <t>6.10</t>
  </si>
  <si>
    <t>Oferta comercial estructurada</t>
  </si>
  <si>
    <t>6.11</t>
  </si>
  <si>
    <t>Modelo de negocio resumido definido</t>
  </si>
  <si>
    <t>7</t>
  </si>
  <si>
    <t>CELDA ROBOTIZADA DISEÑADA Y VALIDADA</t>
  </si>
  <si>
    <t>7.1</t>
  </si>
  <si>
    <t>Justificación de robotización sustentada</t>
  </si>
  <si>
    <t>7.2</t>
  </si>
  <si>
    <t>Robot y herramienta seleccionados</t>
  </si>
  <si>
    <t>7.3</t>
  </si>
  <si>
    <t>Layout de celda elaborado</t>
  </si>
  <si>
    <t>7.4</t>
  </si>
  <si>
    <t>Sensores y periféricos de celda definidos</t>
  </si>
  <si>
    <t>7.5</t>
  </si>
  <si>
    <t>Tiempos de celda cuantificados</t>
  </si>
  <si>
    <t>7.6</t>
  </si>
  <si>
    <t>Simulación RobotStudio validada</t>
  </si>
  <si>
    <t>7.7</t>
  </si>
  <si>
    <t>Medidas de seguridad de celda definidas</t>
  </si>
  <si>
    <t>7.8</t>
  </si>
  <si>
    <t>Riesgos de celda evaluados</t>
  </si>
  <si>
    <t>8</t>
  </si>
  <si>
    <t>SISTEMA DE CONTROL INDUSTRIAL VALIDADO</t>
  </si>
  <si>
    <t>8.1</t>
  </si>
  <si>
    <t>Filosofía de control definida</t>
  </si>
  <si>
    <t>8.2</t>
  </si>
  <si>
    <t>Grafcet del sistema elaborado</t>
  </si>
  <si>
    <t>8.3</t>
  </si>
  <si>
    <t>Interlocks y permisos definidos</t>
  </si>
  <si>
    <t>8.4</t>
  </si>
  <si>
    <t>Lógica Ladder implementada</t>
  </si>
  <si>
    <t>8.5</t>
  </si>
  <si>
    <t>Gestión de recetas implementada</t>
  </si>
  <si>
    <t>8.6</t>
  </si>
  <si>
    <t>Manejo de fallas implementado</t>
  </si>
  <si>
    <t>8.7</t>
  </si>
  <si>
    <t>Validación funcional del control completada</t>
  </si>
  <si>
    <t>9</t>
  </si>
  <si>
    <t>GEMELO DIGITAL INTEGRADO VALIDADO</t>
  </si>
  <si>
    <t>9.1</t>
  </si>
  <si>
    <t>Modelo 3D del sistema desarrollado</t>
  </si>
  <si>
    <t>9.2</t>
  </si>
  <si>
    <t>Sensores y actuadores virtuales integrados</t>
  </si>
  <si>
    <t>9.3</t>
  </si>
  <si>
    <t>Integración con Logix Emulate implementada</t>
  </si>
  <si>
    <t>9.4</t>
  </si>
  <si>
    <t>Pruebas integradas ejecutadas</t>
  </si>
  <si>
    <t>9.5</t>
  </si>
  <si>
    <t>Validación funcional del sistema completada</t>
  </si>
  <si>
    <t>10</t>
  </si>
  <si>
    <t>SUPERVISIÓN SCADA IMPLEMENTADA</t>
  </si>
  <si>
    <t>10.1</t>
  </si>
  <si>
    <t>Estándar HMI ISA-101 definido</t>
  </si>
  <si>
    <t>10.2</t>
  </si>
  <si>
    <t>Pantallas HMI diseñadas</t>
  </si>
  <si>
    <t>10.3</t>
  </si>
  <si>
    <t>Modelo de tags SCADA estructurado</t>
  </si>
  <si>
    <t>10.4</t>
  </si>
  <si>
    <t>SCADA en Ignition implementado</t>
  </si>
  <si>
    <t>10.5</t>
  </si>
  <si>
    <t>Comunicación OPC operativa</t>
  </si>
  <si>
    <t>10.6</t>
  </si>
  <si>
    <t>Alarmas, eventos e historización configurados</t>
  </si>
  <si>
    <t>10.7</t>
  </si>
  <si>
    <t>Interacción del operador habilitada</t>
  </si>
  <si>
    <t>10.8</t>
  </si>
  <si>
    <t>Validación funcional con gemelo digital completada</t>
  </si>
  <si>
    <t>11</t>
  </si>
  <si>
    <t>CIERRE ACADÉMICO Y ENTREGABLES DEL CURSO</t>
  </si>
  <si>
    <t>11.1</t>
  </si>
  <si>
    <t>Criterios de aceptación definidos</t>
  </si>
  <si>
    <t>11.2</t>
  </si>
  <si>
    <t>Pruebas integrales end-to-end ejecutadas</t>
  </si>
  <si>
    <t>11.3</t>
  </si>
  <si>
    <t>Cuadro resumen final consolidado</t>
  </si>
  <si>
    <t>11.4</t>
  </si>
  <si>
    <t>Repositorio GitHub consolidado</t>
  </si>
  <si>
    <t>11.5</t>
  </si>
  <si>
    <t>Sitio web del proyecto completado</t>
  </si>
  <si>
    <t>11.6</t>
  </si>
  <si>
    <t>Video de proyecto producido</t>
  </si>
  <si>
    <t>11.7</t>
  </si>
  <si>
    <t>Sustentación intermedia preparada</t>
  </si>
  <si>
    <t>Hito</t>
  </si>
  <si>
    <t>11.8</t>
  </si>
  <si>
    <t>Sustentación final preparada</t>
  </si>
  <si>
    <t>11.9</t>
  </si>
  <si>
    <t>Reflexiones de aprendizaje consolidadas</t>
  </si>
  <si>
    <t>TOTAL DEL PROYECTO</t>
  </si>
  <si>
    <t>6 personas en paralelo</t>
  </si>
  <si>
    <t>#</t>
  </si>
  <si>
    <t>Fase</t>
  </si>
  <si>
    <t>Días asignados</t>
  </si>
  <si>
    <t>% del total</t>
  </si>
  <si>
    <t>TOTAL</t>
  </si>
  <si>
    <t>100.0%</t>
  </si>
  <si>
    <t>Código</t>
  </si>
  <si>
    <t>Entregable</t>
  </si>
  <si>
    <t>Descripción breve</t>
  </si>
  <si>
    <t>Criterio de cierre</t>
  </si>
  <si>
    <t>Evidencia esperada</t>
  </si>
  <si>
    <t>Se establece la familia de bebidas seleccionada, el tipo de línea y el contexto de operación de alto volumen.</t>
  </si>
  <si>
    <t>Se identifica claramente qué familia de bebidas se trabajará y bajo qué contexto productivo.</t>
  </si>
  <si>
    <t>Documento de alcance o ficha del proceso seleccionado.</t>
  </si>
  <si>
    <t>Se definen tres productos distintos con diferencias técnicas relevantes entre ellos.</t>
  </si>
  <si>
    <t>Los tres productos están identificados y diferenciados al menos por dos criterios no triviales.</t>
  </si>
  <si>
    <t>Tabla comparativa de productos.</t>
  </si>
  <si>
    <t>Se documentan los envases, formatos y rangos de capacidad asociados a cada producto.</t>
  </si>
  <si>
    <t>Cada producto tiene definido su tipo de envase, formato y capacidad.</t>
  </si>
  <si>
    <t>Tabla de envases y formatos.</t>
  </si>
  <si>
    <t>Se consolidan recetas y variables críticas de operación por producto.</t>
  </si>
  <si>
    <t>Existe una relación de parámetros críticos por producto y etapa.</t>
  </si>
  <si>
    <t>Tabla de recetas y variables de proceso.</t>
  </si>
  <si>
    <t>Se identifican las etapas donde ocurren cambios térmicos, químicos o de acondicionamiento.</t>
  </si>
  <si>
    <t>Las transformaciones relevantes están asociadas a los productos o etapas correspondientes.</t>
  </si>
  <si>
    <t>Esquema del proceso con identificación de transformaciones.</t>
  </si>
  <si>
    <t>Se plantea cómo se controlará la calidad del producto y cómo se hará su seguimiento operativo y por lote.</t>
  </si>
  <si>
    <t>Se documenta una propuesta mínima de control de calidad y trazabilidad.</t>
  </si>
  <si>
    <t>Documento o tabla de control de calidad y trazabilidad.</t>
  </si>
  <si>
    <t>Se establecen las acciones del operador y la información que visualizará o confirmará en SCADA.</t>
  </si>
  <si>
    <t>Se documentan funciones mínimas del operador durante operación y cambios de producto.</t>
  </si>
  <si>
    <t>Lista de interacciones operador-SCADA o matriz funcional.</t>
  </si>
  <si>
    <t>Se definen indicadores clave por producto para monitoreo y análisis.</t>
  </si>
  <si>
    <t>Existe una lista de KPIs por producto con propósito claro.</t>
  </si>
  <si>
    <t>Tabla de indicadores por producto.</t>
  </si>
  <si>
    <t>DIAGNÓSTICO DEL PROCESO ACTUAL COMPLETADO</t>
  </si>
  <si>
    <t>Se recopila y organiza la información técnica del proceso actual a partir de referencias, observación o visita.</t>
  </si>
  <si>
    <t>Existe una base documental consolidada del proceso actual.</t>
  </si>
  <si>
    <t>Carpeta de evidencias, notas técnicas o consolidado documental.</t>
  </si>
  <si>
    <t>Se representa el proceso completo desde insumos hasta empaque o despacho.</t>
  </si>
  <si>
    <t>El diagrama refleja de forma coherente las etapas principales del sistema.</t>
  </si>
  <si>
    <t>Diagrama general del proceso.</t>
  </si>
  <si>
    <t>Se identifican y representan el flujo físico y el flujo informacional del sistema.</t>
  </si>
  <si>
    <t>El flujo de materiales e información está descrito y relacionado con el proceso.</t>
  </si>
  <si>
    <t>Diagrama o esquema de flujos.</t>
  </si>
  <si>
    <t>Se describen las estaciones del proceso, sus equipos y recursos requeridos.</t>
  </si>
  <si>
    <t>Existe una relación estructurada de estaciones, equipos y recursos.</t>
  </si>
  <si>
    <t>Tabla de estaciones, equipos y recursos.</t>
  </si>
  <si>
    <t>Se estiman o miden tiempos de operación, transporte, espera o manipulación.</t>
  </si>
  <si>
    <t>Se cuenta con tiempos base por etapa o estación.</t>
  </si>
  <si>
    <t>Tabla de tiempos base.</t>
  </si>
  <si>
    <t>Se construye el mapa de flujo de valor del estado actual.</t>
  </si>
  <si>
    <t>El VSM actual representa flujo, tiempos e inventarios relevantes.</t>
  </si>
  <si>
    <t>VSM AS-IS.</t>
  </si>
  <si>
    <t>Se identifican pérdidas y actividades sin valor agregado presentes en el sistema actual.</t>
  </si>
  <si>
    <t>Existe un análisis de desperdicios relevante y coherente con el diagnóstico.</t>
  </si>
  <si>
    <t>Lista o matriz de Muda/desperdicios.</t>
  </si>
  <si>
    <t>Se calculan métricas base del sistema actual.</t>
  </si>
  <si>
    <t>Los indicadores del estado actual están cuantificados y documentados.</t>
  </si>
  <si>
    <t>Tabla de KPIs AS-IS.</t>
  </si>
  <si>
    <t>Se documentan fallas recurrentes, tiempos muertos y variables de mantenimiento.</t>
  </si>
  <si>
    <t>Las fallas y parámetros principales están identificados y descritos.</t>
  </si>
  <si>
    <t>Tabla de fallas y parámetros de mantenimiento.</t>
  </si>
  <si>
    <t>Se formula conceptualmente el modelo de simulación del sistema.</t>
  </si>
  <si>
    <t>El modelo conceptual describe entidades, recursos, colas, reglas y supuestos.</t>
  </si>
  <si>
    <t>Documento del modelo conceptual.</t>
  </si>
  <si>
    <t>Se formulan metas de mejora del sistema en desempeño, calidad, tiempos o seguridad.</t>
  </si>
  <si>
    <t>Los objetivos están definidos y validados por el equipo.</t>
  </si>
  <si>
    <t>Lista de objetivos de mejora.</t>
  </si>
  <si>
    <t>Se define un conjunto de mejoras previas o complementarias a la automatización.</t>
  </si>
  <si>
    <t>Existe una propuesta de mejora con sustento técnico.</t>
  </si>
  <si>
    <t>Documento de propuesta Lean/preautomatización.</t>
  </si>
  <si>
    <t>Se construye el mapa de flujo de valor del estado futuro.</t>
  </si>
  <si>
    <t>El VSM futuro representa la propuesta de mejora de forma consistente.</t>
  </si>
  <si>
    <t>VSM TO-BE.</t>
  </si>
  <si>
    <t>Se plantea cómo operará la línea con varios productos y parámetros diferenciados.</t>
  </si>
  <si>
    <t>La lógica general de operación multiproducto está documentada.</t>
  </si>
  <si>
    <t>Documento o tabla de estrategia multiproducto.</t>
  </si>
  <si>
    <t>Se define cómo se ejecutarán los cambios de producto o formato.</t>
  </si>
  <si>
    <t>La estrategia de set-up y cambio de formato está documentada.</t>
  </si>
  <si>
    <t>Procedimiento o esquema de cambio de formato.</t>
  </si>
  <si>
    <t>Se define cómo responderá el sistema ante paros, fallas y recuperación operativa.</t>
  </si>
  <si>
    <t>Existe una lógica general de manejo y recuperación ante fallas.</t>
  </si>
  <si>
    <t>Documento de estrategia de fallas y recuperación.</t>
  </si>
  <si>
    <t>Se establece el tratamiento de producto no conforme, rechazo y posible reproceso.</t>
  </si>
  <si>
    <t>La ruta de manejo del rechazo y reproceso está definida.</t>
  </si>
  <si>
    <t>Esquema de rechazo/reproceso o matriz de decisión.</t>
  </si>
  <si>
    <t>Se define la estructura del sistema según niveles ISA-95 y sus funciones.</t>
  </si>
  <si>
    <t>Los niveles y funciones aplicables están documentados.</t>
  </si>
  <si>
    <t>Diagrama o documento de arquitectura ISA-95.</t>
  </si>
  <si>
    <t>Se establece cómo se comunicarán PLC, SCADA, gemelo digital y demás componentes.</t>
  </si>
  <si>
    <t>Existe un esquema claro de comunicación entre sistemas.</t>
  </si>
  <si>
    <t>Diagrama de comunicaciones.</t>
  </si>
  <si>
    <t>Se define la estructura de red industrial, segmentación y conexiones principales.</t>
  </si>
  <si>
    <t>La topología propuesta está representada y justificada.</t>
  </si>
  <si>
    <t>Diagrama de red industrial.</t>
  </si>
  <si>
    <t>Se consolida el listado de señales de entrada, salida y tags del sistema.</t>
  </si>
  <si>
    <t>Las señales principales están identificadas y organizadas.</t>
  </si>
  <si>
    <t>Lista de E/S y tags.</t>
  </si>
  <si>
    <t>Se elaboran los diagramas de flujo de proceso e instrumentación del sistema.</t>
  </si>
  <si>
    <t>Se dispone de diagramas coherentes con el proceso y la automatización planteada.</t>
  </si>
  <si>
    <t>PFD y P&amp;ID del sistema.</t>
  </si>
  <si>
    <t>Se organizan señales, rangos, tipos de dato, alarmas y criticidad.</t>
  </si>
  <si>
    <t>Existe una matriz usable para control y supervisión.</t>
  </si>
  <si>
    <t>Matriz de señales y alarmas.</t>
  </si>
  <si>
    <t>Se define qué variables, eventos y registros de lote deben almacenarse.</t>
  </si>
  <si>
    <t>La información mínima a registrar está especificada.</t>
  </si>
  <si>
    <t>Especificación de historización, eventos y lotes.</t>
  </si>
  <si>
    <t>Modelo AS-IS implementado</t>
  </si>
  <si>
    <t>Se implementa en simulación el estado actual del proceso.</t>
  </si>
  <si>
    <t>El modelo AS-IS corre y representa la lógica base del sistema.</t>
  </si>
  <si>
    <t>Archivo del modelo AS-IS.</t>
  </si>
  <si>
    <t>Se verifica la consistencia del modelo AS-IS frente al proceso analizado.</t>
  </si>
  <si>
    <t>El modelo validado es aceptable para análisis de desempeño.</t>
  </si>
  <si>
    <t>Registro o informe de validación AS-IS.</t>
  </si>
  <si>
    <t>Se ejecutan diferentes escenarios del sistema actual.</t>
  </si>
  <si>
    <t>Existen resultados de simulación para escenarios representativos.</t>
  </si>
  <si>
    <t>Reporte de escenarios AS-IS.</t>
  </si>
  <si>
    <t>Se cuantifican indicadores del estado actual con base en simulación.</t>
  </si>
  <si>
    <t>Los resultados numéricos del desempeño AS-IS están consolidados.</t>
  </si>
  <si>
    <t>Tabla o reporte de desempeño AS-IS.</t>
  </si>
  <si>
    <t>Se definen los escenarios del sistema futuro a evaluar.</t>
  </si>
  <si>
    <t>Los escenarios TO-BE están descritos y listos para simulación.</t>
  </si>
  <si>
    <t>Documento de escenarios TO-BE.</t>
  </si>
  <si>
    <t>Se simula el sistema mejorado.</t>
  </si>
  <si>
    <t>El modelo TO-BE corre y genera resultados comparables.</t>
  </si>
  <si>
    <t>Archivo del modelo TO-BE y resultados.</t>
  </si>
  <si>
    <t>Se calculan indicadores de desempeño por escenario.</t>
  </si>
  <si>
    <t>Cada escenario tiene sus KPIs y OEE reportados.</t>
  </si>
  <si>
    <t>Tabla comparativa de KPIs y OEE.</t>
  </si>
  <si>
    <t>Se comparan resultados del sistema actual y futuro.</t>
  </si>
  <si>
    <t>Existe un análisis consolidado de mejoras y trade-offs.</t>
  </si>
  <si>
    <t>Informe o tabla comparativa AS-IS vs TO-BE.</t>
  </si>
  <si>
    <t>Se formaliza la EDT del proyecto junto con su diccionario.</t>
  </si>
  <si>
    <t>La EDT y su diccionario están completos y revisados por el equipo.</t>
  </si>
  <si>
    <t>EDT final y diccionario EDT.</t>
  </si>
  <si>
    <t>Se organiza la secuencia del proyecto con duraciones, dependencias e hitos.</t>
  </si>
  <si>
    <t>Existe un cronograma base claro y coherente.</t>
  </si>
  <si>
    <t>Gantt o cronograma base.</t>
  </si>
  <si>
    <t>Se identifican recursos humanos, técnicos y de soporte requeridos.</t>
  </si>
  <si>
    <t>Los recursos principales del proyecto están consolidados.</t>
  </si>
  <si>
    <t>Tabla de recursos.</t>
  </si>
  <si>
    <t>Se consolidan costos de inversión y costos operativos de la solución.</t>
  </si>
  <si>
    <t>El presupuesto está estructurado por rubros principales.</t>
  </si>
  <si>
    <t>Tabla de presupuesto CAPEX/OPEX.</t>
  </si>
  <si>
    <t>Se reúnen cotizaciones, referencias o soportes de precios.</t>
  </si>
  <si>
    <t>Los valores usados tienen soporte identificable.</t>
  </si>
  <si>
    <t>Cotizaciones, capturas o referencias de precio.</t>
  </si>
  <si>
    <t>Se construye el flujo de caja con supuestos y resultados financieros base.</t>
  </si>
  <si>
    <t>El flujo de caja es coherente con el presupuesto y la solución.</t>
  </si>
  <si>
    <t>Hoja de cálculo de flujo de caja.</t>
  </si>
  <si>
    <t>Se calculan indicadores financieros de evaluación del proyecto.</t>
  </si>
  <si>
    <t>Los indicadores financieros están calculados y explicados.</t>
  </si>
  <si>
    <t>Tabla de VPN, TIR, ROI, Payback u otros.</t>
  </si>
  <si>
    <t>Se analiza el efecto de cambios en supuestos críticos.</t>
  </si>
  <si>
    <t>Se presentan escenarios comparables con su impacto financiero.</t>
  </si>
  <si>
    <t>Análisis de sensibilidad o escenarios.</t>
  </si>
  <si>
    <t>Se define el valor que la solución ofrece al cliente o empresa.</t>
  </si>
  <si>
    <t>La propuesta de valor está expresada de forma clara y concreta.</t>
  </si>
  <si>
    <t>Canvas, ficha o texto de propuesta de valor.</t>
  </si>
  <si>
    <t>Se plantea la oferta al cliente con alcance, beneficios y justificación.</t>
  </si>
  <si>
    <t>La oferta es comprensible y consistente con la solución propuesta.</t>
  </si>
  <si>
    <t>Documento de oferta comercial.</t>
  </si>
  <si>
    <t>Se resume el modelo de negocio asociado a la solución.</t>
  </si>
  <si>
    <t>El esquema de cliente, problema, solución, costos e ingresos está definido.</t>
  </si>
  <si>
    <t>Resumen de modelo de negocio o canvas.</t>
  </si>
  <si>
    <t>Se argumenta técnicamente la pertinencia de robotizar parte del proceso.</t>
  </si>
  <si>
    <t>La robotización queda justificada frente al problema del proceso.</t>
  </si>
  <si>
    <t>Documento de justificación técnica.</t>
  </si>
  <si>
    <t>Robot y herramienta de toma seleccionados</t>
  </si>
  <si>
    <t>Se seleccionan el robot y el sistema de agarre adecuados.</t>
  </si>
  <si>
    <t>La selección está sustentada con criterios técnicos.</t>
  </si>
  <si>
    <t>Ficha de selección de robot y EOAT.</t>
  </si>
  <si>
    <t>Se diseña la distribución física de la celda robotizada.</t>
  </si>
  <si>
    <t>El layout representa ubicación, flujo y accesos básicos.</t>
  </si>
  <si>
    <t>Plano o layout de la celda.</t>
  </si>
  <si>
    <t>Se definen los elementos auxiliares necesarios para la celda.</t>
  </si>
  <si>
    <t>Existe un listado funcional de sensores y periféricos.</t>
  </si>
  <si>
    <t>Tabla de sensores y periféricos.</t>
  </si>
  <si>
    <t>Se calculan o estiman tiempos de ciclo y operación de la celda.</t>
  </si>
  <si>
    <t>Los tiempos son suficientes para evaluar desempeño de la celda.</t>
  </si>
  <si>
    <t>Tabla de tiempos de celda.</t>
  </si>
  <si>
    <t>Se valida el funcionamiento de la celda en RobotStudio o similar.</t>
  </si>
  <si>
    <t>La simulación reproduce la operación prevista sin errores críticos.</t>
  </si>
  <si>
    <t>Archivo de simulación y evidencia de validación.</t>
  </si>
  <si>
    <t>Se establecen medidas de seguridad física y lógica de la celda.</t>
  </si>
  <si>
    <t>La propuesta de seguridad es coherente con la operación robotizada.</t>
  </si>
  <si>
    <t>Documento o plano de seguridad de celda.</t>
  </si>
  <si>
    <t>Se analizan riesgos asociados a la celda y sus mitigaciones.</t>
  </si>
  <si>
    <t>Existe evaluación de riesgos con controles propuestos.</t>
  </si>
  <si>
    <t>Matriz de riesgos de celda.</t>
  </si>
  <si>
    <t>Se establecen modos de operación y principios generales del control.</t>
  </si>
  <si>
    <t>La filosofía de control está documentada y es coherente con el sistema.</t>
  </si>
  <si>
    <t>Documento de filosofía de control.</t>
  </si>
  <si>
    <t>Se representa la lógica secuencial del sistema mediante Grafcet.</t>
  </si>
  <si>
    <t>El Grafcet cubre los estados y secuencias principales.</t>
  </si>
  <si>
    <t>Diagrama Grafcet.</t>
  </si>
  <si>
    <t>Se documentan enclavamientos, permisos y bloqueos de operación.</t>
  </si>
  <si>
    <t>Los interlocks y permisos clave están identificados.</t>
  </si>
  <si>
    <t>Matriz o tabla de interlocks y permisos.</t>
  </si>
  <si>
    <t>Se implementa la secuencia de control en Ladder.</t>
  </si>
  <si>
    <t>La lógica Ladder corre y refleja la secuencia definida.</t>
  </si>
  <si>
    <t>Programa Ladder.</t>
  </si>
  <si>
    <t>Se implementa el manejo de recetas o parámetros por producto.</t>
  </si>
  <si>
    <t>El sistema permite aplicar o seleccionar recetas definidas.</t>
  </si>
  <si>
    <t>Evidencia funcional de recetas en control.</t>
  </si>
  <si>
    <t>Se implementa la lógica de respuesta ante fallas y recuperación.</t>
  </si>
  <si>
    <t>El sistema reconoce y gestiona fallas principales.</t>
  </si>
  <si>
    <t>Programa, matriz o evidencia funcional de fallas.</t>
  </si>
  <si>
    <t>Se verifica el comportamiento del control en condiciones normales y de excepción.</t>
  </si>
  <si>
    <t>El control cumple funcionalmente lo esperado.</t>
  </si>
  <si>
    <t>Protocolo o reporte de validación funcional.</t>
  </si>
  <si>
    <t>Se desarrolla la representación tridimensional del sistema.</t>
  </si>
  <si>
    <t>El modelo 3D es suficiente para integración y validación.</t>
  </si>
  <si>
    <t>Archivo o capturas del modelo 3D.</t>
  </si>
  <si>
    <t>Se incorporan elementos virtuales de sensado y actuación al modelo.</t>
  </si>
  <si>
    <t>Los elementos virtuales están conectados al comportamiento del sistema.</t>
  </si>
  <si>
    <t>Evidencia de integración de señales virtuales.</t>
  </si>
  <si>
    <t>Se integra el modelo virtual con el entorno de emulación de control.</t>
  </si>
  <si>
    <t>Existe intercambio funcional de señales entre modelo y emulador.</t>
  </si>
  <si>
    <t>Evidencia de conexión con Logix Emulate.</t>
  </si>
  <si>
    <t>Se realizan pruebas del sistema integrado modelo-control-señales.</t>
  </si>
  <si>
    <t>Las pruebas se ejecutan y documentan con resultados claros.</t>
  </si>
  <si>
    <t>Registro o informe de pruebas integradas.</t>
  </si>
  <si>
    <t>Se valida el comportamiento global del sistema integrado.</t>
  </si>
  <si>
    <t>El sistema integrado se comporta de forma aceptable frente a lo esperado.</t>
  </si>
  <si>
    <t>Informe de validación funcional del gemelo digital.</t>
  </si>
  <si>
    <t>Se definen criterios visuales y de navegación para la HMI.</t>
  </si>
  <si>
    <t>Existe una guía base de diseño HMI consistente.</t>
  </si>
  <si>
    <t>Documento de estándar HMI.</t>
  </si>
  <si>
    <t>Se diseñan las pantallas de supervisión requeridas por el sistema.</t>
  </si>
  <si>
    <t>El conjunto de pantallas necesarias está diseñado.</t>
  </si>
  <si>
    <t>Mockups, vistas o pantallas diseñadas.</t>
  </si>
  <si>
    <t>Se organiza la estructura lógica de variables y equipos del SCADA.</t>
  </si>
  <si>
    <t>La estructura de tags es usable para implementación.</t>
  </si>
  <si>
    <t>Árbol o tabla de tags SCADA.</t>
  </si>
  <si>
    <t>Se implementa el sistema de supervisión en Ignition.</t>
  </si>
  <si>
    <t>El proyecto SCADA está montado y operativo a nivel funcional base.</t>
  </si>
  <si>
    <t>Proyecto Ignition o capturas funcionales.</t>
  </si>
  <si>
    <t>Se habilita la comunicación OPC entre control y supervisión.</t>
  </si>
  <si>
    <t>Las variables se intercambian correctamente entre ambas capas.</t>
  </si>
  <si>
    <t>Evidencia de tags comunicando por OPC.</t>
  </si>
  <si>
    <t>Se configuran alarmas, registro de eventos e historización mínima.</t>
  </si>
  <si>
    <t>El sistema registra y muestra alarmas, eventos y datos históricos clave.</t>
  </si>
  <si>
    <t>Configuración y evidencia funcional de alarmas/eventos/histórico.</t>
  </si>
  <si>
    <t>Se habilitan acciones del operador desde el SCADA.</t>
  </si>
  <si>
    <t>El operador puede ejecutar las interacciones previstas.</t>
  </si>
  <si>
    <t>Evidencia funcional de interacción operador-SCADA.</t>
  </si>
  <si>
    <t>Se valida el SCADA junto con el gemelo digital y el control.</t>
  </si>
  <si>
    <t>La supervisión funciona de forma integrada con el entorno virtual.</t>
  </si>
  <si>
    <t>Protocolo o evidencia de validación integrada.</t>
  </si>
  <si>
    <t>CIERRE ACADÉMICO Y ENTREGABLES DEL CURSO COMPLETADOS</t>
  </si>
  <si>
    <t>Se establecen criterios mínimos para aceptar los principales entregables del proyecto.</t>
  </si>
  <si>
    <t>Los criterios de aceptación están claros y documentados.</t>
  </si>
  <si>
    <t>Lista o matriz de criterios de aceptación.</t>
  </si>
  <si>
    <t>Se realizan pruebas completas del sistema integrado.</t>
  </si>
  <si>
    <t>Las pruebas integrales se ejecutan y documentan.</t>
  </si>
  <si>
    <t>Registro de pruebas end-to-end.</t>
  </si>
  <si>
    <t>Se consolida la información final comparativa del proyecto.</t>
  </si>
  <si>
    <t>El cuadro final reúne indicadores, tiempos, costos y resultados principales.</t>
  </si>
  <si>
    <t>Cuadro resumen final.</t>
  </si>
  <si>
    <t>Repositorio GitHub curado</t>
  </si>
  <si>
    <t>Se organiza el repositorio con archivos, evidencias y documentación del proyecto.</t>
  </si>
  <si>
    <t>El repositorio está completo, ordenado y usable.</t>
  </si>
  <si>
    <t>Enlace o capturas del repositorio.</t>
  </si>
  <si>
    <t>Se completa el sitio web del proyecto con las secciones requeridas.</t>
  </si>
  <si>
    <t>El sitio está listo y contiene la información principal del proyecto.</t>
  </si>
  <si>
    <t>Sitio web publicado o capturas.</t>
  </si>
  <si>
    <t>Se produce el video final de presentación y demostración del proyecto.</t>
  </si>
  <si>
    <t>El video cumple contenido y formato esperados.</t>
  </si>
  <si>
    <t>Archivo o enlace del video.</t>
  </si>
  <si>
    <t>Se preparan materiales y narrativa para la sustentación intermedia.</t>
  </si>
  <si>
    <t>La presentación intermedia está lista para exponer.</t>
  </si>
  <si>
    <t>Diapositivas y guion de sustentación intermedia.</t>
  </si>
  <si>
    <t>Se preparan materiales y defensa técnica para la sustentación final.</t>
  </si>
  <si>
    <t>La presentación final y sus soportes están listos.</t>
  </si>
  <si>
    <t>Diapositivas y guion de sustentación final.</t>
  </si>
  <si>
    <t>Se consolidan aprendizajes, dificultades y recomendaciones del proceso.</t>
  </si>
  <si>
    <t>La reflexión final del equipo está redactada y organizada.</t>
  </si>
  <si>
    <t>Documento de reflexiones de aprendizaje.</t>
  </si>
  <si>
    <t>TOTAL: 11 fases  ·  88 entregables</t>
  </si>
  <si>
    <t>Diccionario EDT completo</t>
  </si>
  <si>
    <t>Todos los criterios documentados</t>
  </si>
  <si>
    <t>Evidencias definidas por entregable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</si>
</sst>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Calibri"/>
    </font>
    <font/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EBF3FB"/>
        <bgColor rgb="FFEBF3FB"/>
      </patternFill>
    </fill>
    <fill>
      <patternFill patternType="solid">
        <fgColor rgb="FF2E75B6"/>
        <bgColor rgb="FF2E75B6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horizontal="center" shrinkToFit="0" vertical="center" wrapText="0"/>
    </xf>
    <xf borderId="1" fillId="3" fontId="3" numFmtId="0" xfId="0" applyAlignment="1" applyBorder="1" applyFill="1" applyFont="1">
      <alignment horizontal="left" shrinkToFit="0" vertical="center" wrapText="1"/>
    </xf>
    <xf borderId="1" fillId="3" fontId="4" numFmtId="0" xfId="0" applyAlignment="1" applyBorder="1" applyFont="1">
      <alignment horizontal="center" shrinkToFit="0" vertical="center" wrapText="0"/>
    </xf>
    <xf borderId="1" fillId="4" fontId="3" numFmtId="0" xfId="0" applyAlignment="1" applyBorder="1" applyFill="1" applyFont="1">
      <alignment horizontal="left" shrinkToFit="0" vertical="center" wrapText="1"/>
    </xf>
    <xf borderId="1" fillId="4" fontId="4" numFmtId="0" xfId="0" applyAlignment="1" applyBorder="1" applyFont="1">
      <alignment horizontal="center" shrinkToFit="0" vertical="center" wrapText="0"/>
    </xf>
    <xf borderId="1" fillId="5" fontId="1" numFmtId="0" xfId="0" applyAlignment="1" applyBorder="1" applyFill="1" applyFont="1">
      <alignment horizontal="center" shrinkToFit="0" vertical="center" wrapText="0"/>
    </xf>
    <xf borderId="1" fillId="5" fontId="1" numFmtId="0" xfId="0" applyAlignment="1" applyBorder="1" applyFont="1">
      <alignment horizontal="left" shrinkToFit="0" vertical="center" wrapText="0"/>
    </xf>
    <xf borderId="1" fillId="5" fontId="1" numFmtId="0" xfId="0" applyAlignment="1" applyBorder="1" applyFont="1">
      <alignment horizontal="center" readingOrder="0" shrinkToFit="0" vertical="center" wrapText="0"/>
    </xf>
    <xf borderId="1" fillId="4" fontId="3" numFmtId="0" xfId="0" applyAlignment="1" applyBorder="1" applyFont="1">
      <alignment horizontal="center" shrinkToFit="0" vertical="center" wrapText="1"/>
    </xf>
    <xf borderId="1" fillId="4" fontId="3" numFmtId="164" xfId="0" applyAlignment="1" applyBorder="1" applyFont="1" applyNumberForma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3" numFmtId="164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1" fillId="2" fontId="1" numFmtId="0" xfId="0" applyAlignment="1" applyBorder="1" applyFont="1">
      <alignment shrinkToFit="0" vertical="center" wrapText="1"/>
    </xf>
    <xf borderId="2" fillId="2" fontId="1" numFmtId="0" xfId="0" applyAlignment="1" applyBorder="1" applyFont="1">
      <alignment shrinkToFit="0" vertical="center" wrapText="1"/>
    </xf>
    <xf borderId="3" fillId="0" fontId="6" numFmtId="0" xfId="0" applyBorder="1" applyFont="1"/>
    <xf borderId="4" fillId="0" fontId="6" numFmtId="0" xfId="0" applyBorder="1" applyFont="1"/>
    <xf borderId="1" fillId="3" fontId="7" numFmtId="0" xfId="0" applyAlignment="1" applyBorder="1" applyFont="1">
      <alignment horizontal="center" vertical="center"/>
    </xf>
    <xf borderId="1" fillId="3" fontId="7" numFmtId="0" xfId="0" applyAlignment="1" applyBorder="1" applyFont="1">
      <alignment shrinkToFit="0" vertical="center" wrapText="1"/>
    </xf>
    <xf borderId="1" fillId="4" fontId="7" numFmtId="0" xfId="0" applyAlignment="1" applyBorder="1" applyFont="1">
      <alignment horizontal="center" vertical="center"/>
    </xf>
    <xf borderId="1" fillId="4" fontId="7" numFmtId="0" xfId="0" applyAlignment="1" applyBorder="1" applyFont="1">
      <alignment shrinkToFit="0" vertical="center" wrapText="1"/>
    </xf>
    <xf borderId="1" fillId="5" fontId="5" numFmtId="0" xfId="0" applyAlignment="1" applyBorder="1" applyFont="1">
      <alignment vertical="center"/>
    </xf>
    <xf borderId="1" fillId="5" fontId="1" numFmtId="0" xfId="0" applyAlignment="1" applyBorder="1" applyFont="1">
      <alignment vertical="center"/>
    </xf>
    <xf borderId="1" fillId="5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86"/>
    <col customWidth="1" min="2" max="2" width="45.71"/>
    <col customWidth="1" min="3" max="3" width="10.29"/>
    <col customWidth="1" min="4" max="4" width="23.86"/>
    <col customWidth="1" min="5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>
        <v>8.0</v>
      </c>
      <c r="D2" s="2"/>
    </row>
    <row r="3">
      <c r="A3" s="4" t="s">
        <v>6</v>
      </c>
      <c r="B3" s="4" t="s">
        <v>7</v>
      </c>
      <c r="C3" s="5">
        <v>1.0</v>
      </c>
      <c r="D3" s="4"/>
    </row>
    <row r="4">
      <c r="A4" s="6" t="s">
        <v>8</v>
      </c>
      <c r="B4" s="6" t="s">
        <v>9</v>
      </c>
      <c r="C4" s="7">
        <v>1.0</v>
      </c>
      <c r="D4" s="6"/>
    </row>
    <row r="5">
      <c r="A5" s="4" t="s">
        <v>10</v>
      </c>
      <c r="B5" s="4" t="s">
        <v>11</v>
      </c>
      <c r="C5" s="5">
        <v>1.0</v>
      </c>
      <c r="D5" s="4"/>
    </row>
    <row r="6">
      <c r="A6" s="6" t="s">
        <v>12</v>
      </c>
      <c r="B6" s="6" t="s">
        <v>13</v>
      </c>
      <c r="C6" s="7">
        <v>1.0</v>
      </c>
      <c r="D6" s="6"/>
    </row>
    <row r="7">
      <c r="A7" s="4" t="s">
        <v>14</v>
      </c>
      <c r="B7" s="4" t="s">
        <v>15</v>
      </c>
      <c r="C7" s="5">
        <v>1.0</v>
      </c>
      <c r="D7" s="4"/>
    </row>
    <row r="8">
      <c r="A8" s="6" t="s">
        <v>16</v>
      </c>
      <c r="B8" s="6" t="s">
        <v>17</v>
      </c>
      <c r="C8" s="7">
        <v>1.0</v>
      </c>
      <c r="D8" s="6"/>
    </row>
    <row r="9">
      <c r="A9" s="4" t="s">
        <v>18</v>
      </c>
      <c r="B9" s="4" t="s">
        <v>19</v>
      </c>
      <c r="C9" s="5">
        <v>1.0</v>
      </c>
      <c r="D9" s="4"/>
    </row>
    <row r="10">
      <c r="A10" s="6" t="s">
        <v>20</v>
      </c>
      <c r="B10" s="6" t="s">
        <v>21</v>
      </c>
      <c r="C10" s="7">
        <v>1.0</v>
      </c>
      <c r="D10" s="6"/>
    </row>
    <row r="11">
      <c r="A11" s="2" t="s">
        <v>22</v>
      </c>
      <c r="B11" s="2" t="s">
        <v>23</v>
      </c>
      <c r="C11" s="3">
        <v>10.0</v>
      </c>
      <c r="D11" s="2"/>
    </row>
    <row r="12">
      <c r="A12" s="4" t="s">
        <v>24</v>
      </c>
      <c r="B12" s="4" t="s">
        <v>25</v>
      </c>
      <c r="C12" s="5">
        <v>2.0</v>
      </c>
      <c r="D12" s="4"/>
    </row>
    <row r="13">
      <c r="A13" s="6" t="s">
        <v>26</v>
      </c>
      <c r="B13" s="6" t="s">
        <v>27</v>
      </c>
      <c r="C13" s="7">
        <v>1.0</v>
      </c>
      <c r="D13" s="6"/>
    </row>
    <row r="14">
      <c r="A14" s="4" t="s">
        <v>28</v>
      </c>
      <c r="B14" s="4" t="s">
        <v>29</v>
      </c>
      <c r="C14" s="5">
        <v>1.0</v>
      </c>
      <c r="D14" s="4"/>
    </row>
    <row r="15">
      <c r="A15" s="6" t="s">
        <v>30</v>
      </c>
      <c r="B15" s="6" t="s">
        <v>31</v>
      </c>
      <c r="C15" s="7">
        <v>1.0</v>
      </c>
      <c r="D15" s="6"/>
    </row>
    <row r="16">
      <c r="A16" s="4" t="s">
        <v>32</v>
      </c>
      <c r="B16" s="4" t="s">
        <v>33</v>
      </c>
      <c r="C16" s="5">
        <v>1.0</v>
      </c>
      <c r="D16" s="4"/>
    </row>
    <row r="17">
      <c r="A17" s="6" t="s">
        <v>34</v>
      </c>
      <c r="B17" s="6" t="s">
        <v>35</v>
      </c>
      <c r="C17" s="7">
        <v>1.0</v>
      </c>
      <c r="D17" s="6"/>
    </row>
    <row r="18">
      <c r="A18" s="4" t="s">
        <v>36</v>
      </c>
      <c r="B18" s="4" t="s">
        <v>37</v>
      </c>
      <c r="C18" s="5">
        <v>1.0</v>
      </c>
      <c r="D18" s="4"/>
    </row>
    <row r="19">
      <c r="A19" s="6" t="s">
        <v>38</v>
      </c>
      <c r="B19" s="6" t="s">
        <v>39</v>
      </c>
      <c r="C19" s="7">
        <v>1.0</v>
      </c>
      <c r="D19" s="6"/>
    </row>
    <row r="20">
      <c r="A20" s="4" t="s">
        <v>40</v>
      </c>
      <c r="B20" s="4" t="s">
        <v>41</v>
      </c>
      <c r="C20" s="5">
        <v>1.0</v>
      </c>
      <c r="D20" s="4"/>
    </row>
    <row r="21">
      <c r="A21" s="6" t="s">
        <v>42</v>
      </c>
      <c r="B21" s="6" t="s">
        <v>43</v>
      </c>
      <c r="C21" s="7">
        <v>1.0</v>
      </c>
      <c r="D21" s="6"/>
    </row>
    <row r="22">
      <c r="A22" s="2" t="s">
        <v>44</v>
      </c>
      <c r="B22" s="2" t="s">
        <v>45</v>
      </c>
      <c r="C22" s="3">
        <v>7.0</v>
      </c>
      <c r="D22" s="2"/>
    </row>
    <row r="23">
      <c r="A23" s="4" t="s">
        <v>46</v>
      </c>
      <c r="B23" s="4" t="s">
        <v>47</v>
      </c>
      <c r="C23" s="5">
        <v>1.0</v>
      </c>
      <c r="D23" s="4"/>
    </row>
    <row r="24">
      <c r="A24" s="6" t="s">
        <v>48</v>
      </c>
      <c r="B24" s="6" t="s">
        <v>49</v>
      </c>
      <c r="C24" s="7">
        <v>2.0</v>
      </c>
      <c r="D24" s="6" t="s">
        <v>50</v>
      </c>
    </row>
    <row r="25">
      <c r="A25" s="4" t="s">
        <v>51</v>
      </c>
      <c r="B25" s="4" t="s">
        <v>52</v>
      </c>
      <c r="C25" s="5">
        <v>1.0</v>
      </c>
      <c r="D25" s="4"/>
    </row>
    <row r="26">
      <c r="A26" s="6" t="s">
        <v>53</v>
      </c>
      <c r="B26" s="6" t="s">
        <v>54</v>
      </c>
      <c r="C26" s="7">
        <v>1.0</v>
      </c>
      <c r="D26" s="6"/>
    </row>
    <row r="27">
      <c r="A27" s="4" t="s">
        <v>55</v>
      </c>
      <c r="B27" s="4" t="s">
        <v>56</v>
      </c>
      <c r="C27" s="5">
        <v>1.0</v>
      </c>
      <c r="D27" s="4"/>
    </row>
    <row r="28">
      <c r="A28" s="6" t="s">
        <v>57</v>
      </c>
      <c r="B28" s="6" t="s">
        <v>58</v>
      </c>
      <c r="C28" s="7">
        <v>1.0</v>
      </c>
      <c r="D28" s="6"/>
    </row>
    <row r="29">
      <c r="A29" s="4" t="s">
        <v>59</v>
      </c>
      <c r="B29" s="4" t="s">
        <v>60</v>
      </c>
      <c r="C29" s="5">
        <v>1.0</v>
      </c>
      <c r="D29" s="4"/>
    </row>
    <row r="30">
      <c r="A30" s="2" t="s">
        <v>61</v>
      </c>
      <c r="B30" s="2" t="s">
        <v>62</v>
      </c>
      <c r="C30" s="3">
        <v>8.0</v>
      </c>
      <c r="D30" s="2"/>
    </row>
    <row r="31">
      <c r="A31" s="4" t="s">
        <v>63</v>
      </c>
      <c r="B31" s="4" t="s">
        <v>64</v>
      </c>
      <c r="C31" s="5">
        <v>2.0</v>
      </c>
      <c r="D31" s="4" t="s">
        <v>50</v>
      </c>
    </row>
    <row r="32">
      <c r="A32" s="6" t="s">
        <v>65</v>
      </c>
      <c r="B32" s="6" t="s">
        <v>66</v>
      </c>
      <c r="C32" s="7">
        <v>1.0</v>
      </c>
      <c r="D32" s="6"/>
    </row>
    <row r="33">
      <c r="A33" s="4" t="s">
        <v>67</v>
      </c>
      <c r="B33" s="4" t="s">
        <v>68</v>
      </c>
      <c r="C33" s="5">
        <v>1.0</v>
      </c>
      <c r="D33" s="4"/>
    </row>
    <row r="34">
      <c r="A34" s="6" t="s">
        <v>69</v>
      </c>
      <c r="B34" s="6" t="s">
        <v>70</v>
      </c>
      <c r="C34" s="7">
        <v>1.0</v>
      </c>
      <c r="D34" s="6"/>
    </row>
    <row r="35">
      <c r="A35" s="4" t="s">
        <v>71</v>
      </c>
      <c r="B35" s="4" t="s">
        <v>72</v>
      </c>
      <c r="C35" s="5">
        <v>1.0</v>
      </c>
      <c r="D35" s="4"/>
    </row>
    <row r="36">
      <c r="A36" s="6" t="s">
        <v>73</v>
      </c>
      <c r="B36" s="6" t="s">
        <v>74</v>
      </c>
      <c r="C36" s="7">
        <v>1.0</v>
      </c>
      <c r="D36" s="6"/>
    </row>
    <row r="37">
      <c r="A37" s="4" t="s">
        <v>75</v>
      </c>
      <c r="B37" s="4" t="s">
        <v>76</v>
      </c>
      <c r="C37" s="5">
        <v>1.0</v>
      </c>
      <c r="D37" s="4"/>
    </row>
    <row r="38">
      <c r="A38" s="2" t="s">
        <v>77</v>
      </c>
      <c r="B38" s="2" t="s">
        <v>78</v>
      </c>
      <c r="C38" s="3">
        <v>10.0</v>
      </c>
      <c r="D38" s="2"/>
    </row>
    <row r="39">
      <c r="A39" s="4" t="s">
        <v>79</v>
      </c>
      <c r="B39" s="4" t="s">
        <v>80</v>
      </c>
      <c r="C39" s="5">
        <v>1.0</v>
      </c>
      <c r="D39" s="4"/>
    </row>
    <row r="40">
      <c r="A40" s="6" t="s">
        <v>81</v>
      </c>
      <c r="B40" s="6" t="s">
        <v>82</v>
      </c>
      <c r="C40" s="7">
        <v>1.0</v>
      </c>
      <c r="D40" s="6"/>
    </row>
    <row r="41">
      <c r="A41" s="4" t="s">
        <v>83</v>
      </c>
      <c r="B41" s="4" t="s">
        <v>84</v>
      </c>
      <c r="C41" s="5">
        <v>1.0</v>
      </c>
      <c r="D41" s="4"/>
    </row>
    <row r="42">
      <c r="A42" s="6" t="s">
        <v>85</v>
      </c>
      <c r="B42" s="6" t="s">
        <v>86</v>
      </c>
      <c r="C42" s="7">
        <v>1.0</v>
      </c>
      <c r="D42" s="6"/>
    </row>
    <row r="43">
      <c r="A43" s="4" t="s">
        <v>87</v>
      </c>
      <c r="B43" s="4" t="s">
        <v>88</v>
      </c>
      <c r="C43" s="5">
        <v>2.0</v>
      </c>
      <c r="D43" s="4" t="s">
        <v>50</v>
      </c>
    </row>
    <row r="44">
      <c r="A44" s="6" t="s">
        <v>89</v>
      </c>
      <c r="B44" s="6" t="s">
        <v>90</v>
      </c>
      <c r="C44" s="7">
        <v>2.0</v>
      </c>
      <c r="D44" s="6" t="s">
        <v>50</v>
      </c>
    </row>
    <row r="45">
      <c r="A45" s="4" t="s">
        <v>91</v>
      </c>
      <c r="B45" s="4" t="s">
        <v>92</v>
      </c>
      <c r="C45" s="5">
        <v>1.0</v>
      </c>
      <c r="D45" s="4"/>
    </row>
    <row r="46">
      <c r="A46" s="6" t="s">
        <v>93</v>
      </c>
      <c r="B46" s="6" t="s">
        <v>94</v>
      </c>
      <c r="C46" s="7">
        <v>1.0</v>
      </c>
      <c r="D46" s="6"/>
    </row>
    <row r="47">
      <c r="A47" s="2" t="s">
        <v>95</v>
      </c>
      <c r="B47" s="2" t="s">
        <v>96</v>
      </c>
      <c r="C47" s="3">
        <v>11.0</v>
      </c>
      <c r="D47" s="2"/>
    </row>
    <row r="48">
      <c r="A48" s="4" t="s">
        <v>97</v>
      </c>
      <c r="B48" s="4" t="s">
        <v>98</v>
      </c>
      <c r="C48" s="5">
        <v>1.0</v>
      </c>
      <c r="D48" s="4"/>
    </row>
    <row r="49">
      <c r="A49" s="6" t="s">
        <v>99</v>
      </c>
      <c r="B49" s="6" t="s">
        <v>100</v>
      </c>
      <c r="C49" s="7">
        <v>1.0</v>
      </c>
      <c r="D49" s="6"/>
    </row>
    <row r="50">
      <c r="A50" s="4" t="s">
        <v>101</v>
      </c>
      <c r="B50" s="4" t="s">
        <v>102</v>
      </c>
      <c r="C50" s="5">
        <v>1.0</v>
      </c>
      <c r="D50" s="4"/>
    </row>
    <row r="51">
      <c r="A51" s="6" t="s">
        <v>103</v>
      </c>
      <c r="B51" s="6" t="s">
        <v>104</v>
      </c>
      <c r="C51" s="7">
        <v>2.0</v>
      </c>
      <c r="D51" s="6" t="s">
        <v>50</v>
      </c>
    </row>
    <row r="52">
      <c r="A52" s="4" t="s">
        <v>105</v>
      </c>
      <c r="B52" s="4" t="s">
        <v>106</v>
      </c>
      <c r="C52" s="5">
        <v>1.0</v>
      </c>
      <c r="D52" s="4"/>
    </row>
    <row r="53">
      <c r="A53" s="6" t="s">
        <v>107</v>
      </c>
      <c r="B53" s="6" t="s">
        <v>108</v>
      </c>
      <c r="C53" s="7">
        <v>1.0</v>
      </c>
      <c r="D53" s="6"/>
    </row>
    <row r="54">
      <c r="A54" s="4" t="s">
        <v>109</v>
      </c>
      <c r="B54" s="4" t="s">
        <v>110</v>
      </c>
      <c r="C54" s="5">
        <v>1.0</v>
      </c>
      <c r="D54" s="4"/>
    </row>
    <row r="55">
      <c r="A55" s="6" t="s">
        <v>111</v>
      </c>
      <c r="B55" s="6" t="s">
        <v>112</v>
      </c>
      <c r="C55" s="7">
        <v>1.0</v>
      </c>
      <c r="D55" s="6"/>
    </row>
    <row r="56">
      <c r="A56" s="4" t="s">
        <v>113</v>
      </c>
      <c r="B56" s="4" t="s">
        <v>114</v>
      </c>
      <c r="C56" s="5">
        <v>1.0</v>
      </c>
      <c r="D56" s="4"/>
    </row>
    <row r="57">
      <c r="A57" s="6" t="s">
        <v>115</v>
      </c>
      <c r="B57" s="6" t="s">
        <v>116</v>
      </c>
      <c r="C57" s="7">
        <v>1.0</v>
      </c>
      <c r="D57" s="6"/>
    </row>
    <row r="58">
      <c r="A58" s="4" t="s">
        <v>117</v>
      </c>
      <c r="B58" s="4" t="s">
        <v>118</v>
      </c>
      <c r="C58" s="5">
        <v>1.0</v>
      </c>
      <c r="D58" s="4"/>
    </row>
    <row r="59">
      <c r="A59" s="2" t="s">
        <v>119</v>
      </c>
      <c r="B59" s="2" t="s">
        <v>120</v>
      </c>
      <c r="C59" s="3">
        <v>8.0</v>
      </c>
      <c r="D59" s="2"/>
    </row>
    <row r="60">
      <c r="A60" s="4" t="s">
        <v>121</v>
      </c>
      <c r="B60" s="4" t="s">
        <v>122</v>
      </c>
      <c r="C60" s="5">
        <v>1.0</v>
      </c>
      <c r="D60" s="4"/>
    </row>
    <row r="61">
      <c r="A61" s="6" t="s">
        <v>123</v>
      </c>
      <c r="B61" s="6" t="s">
        <v>124</v>
      </c>
      <c r="C61" s="7">
        <v>1.0</v>
      </c>
      <c r="D61" s="6"/>
    </row>
    <row r="62">
      <c r="A62" s="4" t="s">
        <v>125</v>
      </c>
      <c r="B62" s="4" t="s">
        <v>126</v>
      </c>
      <c r="C62" s="5">
        <v>1.0</v>
      </c>
      <c r="D62" s="4"/>
    </row>
    <row r="63">
      <c r="A63" s="6" t="s">
        <v>127</v>
      </c>
      <c r="B63" s="6" t="s">
        <v>128</v>
      </c>
      <c r="C63" s="7">
        <v>1.0</v>
      </c>
      <c r="D63" s="6"/>
    </row>
    <row r="64">
      <c r="A64" s="4" t="s">
        <v>129</v>
      </c>
      <c r="B64" s="4" t="s">
        <v>130</v>
      </c>
      <c r="C64" s="5">
        <v>1.0</v>
      </c>
      <c r="D64" s="4"/>
    </row>
    <row r="65">
      <c r="A65" s="6" t="s">
        <v>131</v>
      </c>
      <c r="B65" s="6" t="s">
        <v>132</v>
      </c>
      <c r="C65" s="7">
        <v>2.0</v>
      </c>
      <c r="D65" s="6" t="s">
        <v>50</v>
      </c>
    </row>
    <row r="66">
      <c r="A66" s="4" t="s">
        <v>133</v>
      </c>
      <c r="B66" s="4" t="s">
        <v>134</v>
      </c>
      <c r="C66" s="5">
        <v>1.0</v>
      </c>
      <c r="D66" s="4"/>
    </row>
    <row r="67">
      <c r="A67" s="6" t="s">
        <v>135</v>
      </c>
      <c r="B67" s="6" t="s">
        <v>136</v>
      </c>
      <c r="C67" s="7">
        <v>1.0</v>
      </c>
      <c r="D67" s="6"/>
    </row>
    <row r="68">
      <c r="A68" s="2" t="s">
        <v>137</v>
      </c>
      <c r="B68" s="2" t="s">
        <v>138</v>
      </c>
      <c r="C68" s="3">
        <v>9.0</v>
      </c>
      <c r="D68" s="2"/>
    </row>
    <row r="69">
      <c r="A69" s="4" t="s">
        <v>139</v>
      </c>
      <c r="B69" s="4" t="s">
        <v>140</v>
      </c>
      <c r="C69" s="5">
        <v>1.0</v>
      </c>
      <c r="D69" s="4"/>
    </row>
    <row r="70">
      <c r="A70" s="6" t="s">
        <v>141</v>
      </c>
      <c r="B70" s="6" t="s">
        <v>142</v>
      </c>
      <c r="C70" s="7">
        <v>2.0</v>
      </c>
      <c r="D70" s="6" t="s">
        <v>50</v>
      </c>
    </row>
    <row r="71">
      <c r="A71" s="4" t="s">
        <v>143</v>
      </c>
      <c r="B71" s="4" t="s">
        <v>144</v>
      </c>
      <c r="C71" s="5">
        <v>1.0</v>
      </c>
      <c r="D71" s="4"/>
    </row>
    <row r="72">
      <c r="A72" s="6" t="s">
        <v>145</v>
      </c>
      <c r="B72" s="6" t="s">
        <v>146</v>
      </c>
      <c r="C72" s="7">
        <v>2.0</v>
      </c>
      <c r="D72" s="6" t="s">
        <v>50</v>
      </c>
    </row>
    <row r="73">
      <c r="A73" s="4" t="s">
        <v>147</v>
      </c>
      <c r="B73" s="4" t="s">
        <v>148</v>
      </c>
      <c r="C73" s="5">
        <v>1.0</v>
      </c>
      <c r="D73" s="4"/>
    </row>
    <row r="74">
      <c r="A74" s="6" t="s">
        <v>149</v>
      </c>
      <c r="B74" s="6" t="s">
        <v>150</v>
      </c>
      <c r="C74" s="7">
        <v>1.0</v>
      </c>
      <c r="D74" s="6"/>
    </row>
    <row r="75">
      <c r="A75" s="4" t="s">
        <v>151</v>
      </c>
      <c r="B75" s="4" t="s">
        <v>152</v>
      </c>
      <c r="C75" s="5">
        <v>1.0</v>
      </c>
      <c r="D75" s="4"/>
    </row>
    <row r="76">
      <c r="A76" s="2" t="s">
        <v>153</v>
      </c>
      <c r="B76" s="2" t="s">
        <v>154</v>
      </c>
      <c r="C76" s="3">
        <v>8.0</v>
      </c>
      <c r="D76" s="2"/>
    </row>
    <row r="77">
      <c r="A77" s="4" t="s">
        <v>155</v>
      </c>
      <c r="B77" s="4" t="s">
        <v>156</v>
      </c>
      <c r="C77" s="5">
        <v>2.0</v>
      </c>
      <c r="D77" s="4" t="s">
        <v>50</v>
      </c>
    </row>
    <row r="78">
      <c r="A78" s="6" t="s">
        <v>157</v>
      </c>
      <c r="B78" s="6" t="s">
        <v>158</v>
      </c>
      <c r="C78" s="7">
        <v>2.0</v>
      </c>
      <c r="D78" s="6" t="s">
        <v>50</v>
      </c>
    </row>
    <row r="79">
      <c r="A79" s="4" t="s">
        <v>159</v>
      </c>
      <c r="B79" s="4" t="s">
        <v>160</v>
      </c>
      <c r="C79" s="5">
        <v>1.0</v>
      </c>
      <c r="D79" s="4"/>
    </row>
    <row r="80">
      <c r="A80" s="6" t="s">
        <v>161</v>
      </c>
      <c r="B80" s="6" t="s">
        <v>162</v>
      </c>
      <c r="C80" s="7">
        <v>2.0</v>
      </c>
      <c r="D80" s="6"/>
    </row>
    <row r="81">
      <c r="A81" s="4" t="s">
        <v>163</v>
      </c>
      <c r="B81" s="4" t="s">
        <v>164</v>
      </c>
      <c r="C81" s="5">
        <v>1.0</v>
      </c>
      <c r="D81" s="4"/>
    </row>
    <row r="82">
      <c r="A82" s="2" t="s">
        <v>165</v>
      </c>
      <c r="B82" s="2" t="s">
        <v>166</v>
      </c>
      <c r="C82" s="3">
        <v>8.0</v>
      </c>
      <c r="D82" s="2"/>
    </row>
    <row r="83">
      <c r="A83" s="4" t="s">
        <v>167</v>
      </c>
      <c r="B83" s="4" t="s">
        <v>168</v>
      </c>
      <c r="C83" s="5">
        <v>1.0</v>
      </c>
      <c r="D83" s="4"/>
    </row>
    <row r="84">
      <c r="A84" s="6" t="s">
        <v>169</v>
      </c>
      <c r="B84" s="6" t="s">
        <v>170</v>
      </c>
      <c r="C84" s="7">
        <v>1.0</v>
      </c>
      <c r="D84" s="6"/>
    </row>
    <row r="85">
      <c r="A85" s="4" t="s">
        <v>171</v>
      </c>
      <c r="B85" s="4" t="s">
        <v>172</v>
      </c>
      <c r="C85" s="5">
        <v>1.0</v>
      </c>
      <c r="D85" s="4"/>
    </row>
    <row r="86">
      <c r="A86" s="6" t="s">
        <v>173</v>
      </c>
      <c r="B86" s="6" t="s">
        <v>174</v>
      </c>
      <c r="C86" s="7">
        <v>2.0</v>
      </c>
      <c r="D86" s="6" t="s">
        <v>50</v>
      </c>
    </row>
    <row r="87">
      <c r="A87" s="4" t="s">
        <v>175</v>
      </c>
      <c r="B87" s="4" t="s">
        <v>176</v>
      </c>
      <c r="C87" s="5">
        <v>1.0</v>
      </c>
      <c r="D87" s="4"/>
    </row>
    <row r="88">
      <c r="A88" s="6" t="s">
        <v>177</v>
      </c>
      <c r="B88" s="6" t="s">
        <v>178</v>
      </c>
      <c r="C88" s="7">
        <v>1.0</v>
      </c>
      <c r="D88" s="6"/>
    </row>
    <row r="89">
      <c r="A89" s="4" t="s">
        <v>179</v>
      </c>
      <c r="B89" s="4" t="s">
        <v>180</v>
      </c>
      <c r="C89" s="5">
        <v>1.0</v>
      </c>
      <c r="D89" s="4"/>
    </row>
    <row r="90">
      <c r="A90" s="6" t="s">
        <v>181</v>
      </c>
      <c r="B90" s="6" t="s">
        <v>182</v>
      </c>
      <c r="C90" s="7">
        <v>1.0</v>
      </c>
      <c r="D90" s="6"/>
    </row>
    <row r="91">
      <c r="A91" s="2" t="s">
        <v>183</v>
      </c>
      <c r="B91" s="2" t="s">
        <v>184</v>
      </c>
      <c r="C91" s="3">
        <v>9.0</v>
      </c>
      <c r="D91" s="2"/>
    </row>
    <row r="92">
      <c r="A92" s="4" t="s">
        <v>185</v>
      </c>
      <c r="B92" s="4" t="s">
        <v>186</v>
      </c>
      <c r="C92" s="5">
        <v>1.0</v>
      </c>
      <c r="D92" s="4"/>
    </row>
    <row r="93">
      <c r="A93" s="6" t="s">
        <v>187</v>
      </c>
      <c r="B93" s="6" t="s">
        <v>188</v>
      </c>
      <c r="C93" s="7">
        <v>2.0</v>
      </c>
      <c r="D93" s="6"/>
    </row>
    <row r="94">
      <c r="A94" s="4" t="s">
        <v>189</v>
      </c>
      <c r="B94" s="4" t="s">
        <v>190</v>
      </c>
      <c r="C94" s="5">
        <v>1.0</v>
      </c>
      <c r="D94" s="4"/>
    </row>
    <row r="95">
      <c r="A95" s="6" t="s">
        <v>191</v>
      </c>
      <c r="B95" s="6" t="s">
        <v>192</v>
      </c>
      <c r="C95" s="7">
        <v>1.0</v>
      </c>
      <c r="D95" s="6"/>
    </row>
    <row r="96">
      <c r="A96" s="4" t="s">
        <v>193</v>
      </c>
      <c r="B96" s="4" t="s">
        <v>194</v>
      </c>
      <c r="C96" s="5">
        <v>1.0</v>
      </c>
      <c r="D96" s="4"/>
    </row>
    <row r="97">
      <c r="A97" s="6" t="s">
        <v>195</v>
      </c>
      <c r="B97" s="6" t="s">
        <v>196</v>
      </c>
      <c r="C97" s="7">
        <v>1.0</v>
      </c>
      <c r="D97" s="6"/>
    </row>
    <row r="98">
      <c r="A98" s="4" t="s">
        <v>197</v>
      </c>
      <c r="B98" s="4" t="s">
        <v>198</v>
      </c>
      <c r="C98" s="5">
        <v>1.0</v>
      </c>
      <c r="D98" s="4" t="s">
        <v>199</v>
      </c>
    </row>
    <row r="99">
      <c r="A99" s="6" t="s">
        <v>200</v>
      </c>
      <c r="B99" s="6" t="s">
        <v>201</v>
      </c>
      <c r="C99" s="7">
        <v>1.0</v>
      </c>
      <c r="D99" s="6" t="s">
        <v>199</v>
      </c>
    </row>
    <row r="100">
      <c r="A100" s="4" t="s">
        <v>202</v>
      </c>
      <c r="B100" s="4" t="s">
        <v>203</v>
      </c>
      <c r="C100" s="5">
        <v>1.0</v>
      </c>
      <c r="D100" s="4"/>
    </row>
    <row r="101">
      <c r="A101" s="8"/>
      <c r="B101" s="9" t="s">
        <v>204</v>
      </c>
      <c r="C101" s="8">
        <v>96.0</v>
      </c>
      <c r="D101" s="10" t="s">
        <v>205</v>
      </c>
    </row>
  </sheetData>
  <printOptions/>
  <pageMargins bottom="0.75" footer="0.0" header="0.0" left="1.0" right="1.0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49.86"/>
    <col customWidth="1" min="3" max="4" width="16.0"/>
    <col customWidth="1" min="5" max="26" width="8.71"/>
  </cols>
  <sheetData>
    <row r="1">
      <c r="A1" s="1" t="s">
        <v>206</v>
      </c>
      <c r="B1" s="1" t="s">
        <v>207</v>
      </c>
      <c r="C1" s="1" t="s">
        <v>208</v>
      </c>
      <c r="D1" s="1" t="s">
        <v>209</v>
      </c>
    </row>
    <row r="2">
      <c r="A2" s="11" t="s">
        <v>4</v>
      </c>
      <c r="B2" s="6" t="s">
        <v>5</v>
      </c>
      <c r="C2" s="11">
        <v>8.0</v>
      </c>
      <c r="D2" s="12">
        <f>C2/C13</f>
        <v>0.08333333333</v>
      </c>
    </row>
    <row r="3">
      <c r="A3" s="13" t="s">
        <v>22</v>
      </c>
      <c r="B3" s="4" t="s">
        <v>23</v>
      </c>
      <c r="C3" s="13">
        <v>10.0</v>
      </c>
      <c r="D3" s="14">
        <f>C3/C13</f>
        <v>0.1041666667</v>
      </c>
    </row>
    <row r="4">
      <c r="A4" s="11" t="s">
        <v>44</v>
      </c>
      <c r="B4" s="6" t="s">
        <v>45</v>
      </c>
      <c r="C4" s="11">
        <v>7.0</v>
      </c>
      <c r="D4" s="12">
        <f>C4/C13</f>
        <v>0.07291666667</v>
      </c>
    </row>
    <row r="5">
      <c r="A5" s="13" t="s">
        <v>61</v>
      </c>
      <c r="B5" s="4" t="s">
        <v>62</v>
      </c>
      <c r="C5" s="13">
        <v>8.0</v>
      </c>
      <c r="D5" s="14">
        <f>C5/C13</f>
        <v>0.08333333333</v>
      </c>
    </row>
    <row r="6">
      <c r="A6" s="11" t="s">
        <v>77</v>
      </c>
      <c r="B6" s="6" t="s">
        <v>78</v>
      </c>
      <c r="C6" s="11">
        <v>10.0</v>
      </c>
      <c r="D6" s="12">
        <f>C6/C13</f>
        <v>0.1041666667</v>
      </c>
    </row>
    <row r="7">
      <c r="A7" s="13" t="s">
        <v>95</v>
      </c>
      <c r="B7" s="4" t="s">
        <v>96</v>
      </c>
      <c r="C7" s="13">
        <v>11.0</v>
      </c>
      <c r="D7" s="14">
        <f>C7/C13</f>
        <v>0.1145833333</v>
      </c>
    </row>
    <row r="8">
      <c r="A8" s="11" t="s">
        <v>119</v>
      </c>
      <c r="B8" s="6" t="s">
        <v>120</v>
      </c>
      <c r="C8" s="11">
        <v>8.0</v>
      </c>
      <c r="D8" s="12">
        <f>C8/C13</f>
        <v>0.08333333333</v>
      </c>
    </row>
    <row r="9">
      <c r="A9" s="13" t="s">
        <v>137</v>
      </c>
      <c r="B9" s="4" t="s">
        <v>138</v>
      </c>
      <c r="C9" s="13">
        <v>9.0</v>
      </c>
      <c r="D9" s="14">
        <f>C9/C13</f>
        <v>0.09375</v>
      </c>
    </row>
    <row r="10">
      <c r="A10" s="11" t="s">
        <v>153</v>
      </c>
      <c r="B10" s="6" t="s">
        <v>154</v>
      </c>
      <c r="C10" s="11">
        <v>8.0</v>
      </c>
      <c r="D10" s="12">
        <f>C10/C13</f>
        <v>0.08333333333</v>
      </c>
    </row>
    <row r="11">
      <c r="A11" s="13" t="s">
        <v>165</v>
      </c>
      <c r="B11" s="4" t="s">
        <v>166</v>
      </c>
      <c r="C11" s="13">
        <v>8.0</v>
      </c>
      <c r="D11" s="14">
        <f>C11/C13</f>
        <v>0.08333333333</v>
      </c>
    </row>
    <row r="12">
      <c r="A12" s="11" t="s">
        <v>183</v>
      </c>
      <c r="B12" s="6" t="s">
        <v>184</v>
      </c>
      <c r="C12" s="11">
        <v>9.0</v>
      </c>
      <c r="D12" s="12">
        <f>C12/C13</f>
        <v>0.09375</v>
      </c>
    </row>
    <row r="13">
      <c r="A13" s="8"/>
      <c r="B13" s="9" t="s">
        <v>210</v>
      </c>
      <c r="C13" s="8">
        <f>SUM(C2:C12)</f>
        <v>96</v>
      </c>
      <c r="D13" s="8" t="s">
        <v>211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29"/>
    <col customWidth="1" min="2" max="26" width="28.86"/>
  </cols>
  <sheetData>
    <row r="1" ht="26.25" customHeight="1">
      <c r="A1" s="15" t="s">
        <v>212</v>
      </c>
      <c r="B1" s="15" t="s">
        <v>213</v>
      </c>
      <c r="C1" s="15" t="s">
        <v>214</v>
      </c>
      <c r="D1" s="15" t="s">
        <v>215</v>
      </c>
      <c r="E1" s="15" t="s">
        <v>216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27.0" customHeight="1">
      <c r="A2" s="17" t="s">
        <v>4</v>
      </c>
      <c r="B2" s="18" t="s">
        <v>5</v>
      </c>
      <c r="C2" s="19"/>
      <c r="D2" s="19"/>
      <c r="E2" s="20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21" t="s">
        <v>6</v>
      </c>
      <c r="B3" s="22" t="s">
        <v>7</v>
      </c>
      <c r="C3" s="22" t="s">
        <v>217</v>
      </c>
      <c r="D3" s="22" t="s">
        <v>218</v>
      </c>
      <c r="E3" s="22" t="s">
        <v>219</v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23" t="s">
        <v>8</v>
      </c>
      <c r="B4" s="24" t="s">
        <v>9</v>
      </c>
      <c r="C4" s="24" t="s">
        <v>220</v>
      </c>
      <c r="D4" s="24" t="s">
        <v>221</v>
      </c>
      <c r="E4" s="24" t="s">
        <v>222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21" t="s">
        <v>10</v>
      </c>
      <c r="B5" s="22" t="s">
        <v>11</v>
      </c>
      <c r="C5" s="22" t="s">
        <v>223</v>
      </c>
      <c r="D5" s="22" t="s">
        <v>224</v>
      </c>
      <c r="E5" s="22" t="s">
        <v>225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23" t="s">
        <v>12</v>
      </c>
      <c r="B6" s="24" t="s">
        <v>13</v>
      </c>
      <c r="C6" s="24" t="s">
        <v>226</v>
      </c>
      <c r="D6" s="24" t="s">
        <v>227</v>
      </c>
      <c r="E6" s="24" t="s">
        <v>228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21" t="s">
        <v>14</v>
      </c>
      <c r="B7" s="22" t="s">
        <v>15</v>
      </c>
      <c r="C7" s="22" t="s">
        <v>229</v>
      </c>
      <c r="D7" s="22" t="s">
        <v>230</v>
      </c>
      <c r="E7" s="22" t="s">
        <v>231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23" t="s">
        <v>16</v>
      </c>
      <c r="B8" s="24" t="s">
        <v>17</v>
      </c>
      <c r="C8" s="24" t="s">
        <v>232</v>
      </c>
      <c r="D8" s="24" t="s">
        <v>233</v>
      </c>
      <c r="E8" s="24" t="s">
        <v>234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21" t="s">
        <v>18</v>
      </c>
      <c r="B9" s="22" t="s">
        <v>19</v>
      </c>
      <c r="C9" s="22" t="s">
        <v>235</v>
      </c>
      <c r="D9" s="22" t="s">
        <v>236</v>
      </c>
      <c r="E9" s="22" t="s">
        <v>237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23" t="s">
        <v>20</v>
      </c>
      <c r="B10" s="24" t="s">
        <v>21</v>
      </c>
      <c r="C10" s="24" t="s">
        <v>238</v>
      </c>
      <c r="D10" s="24" t="s">
        <v>239</v>
      </c>
      <c r="E10" s="24" t="s">
        <v>240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27.0" customHeight="1">
      <c r="A11" s="17" t="s">
        <v>22</v>
      </c>
      <c r="B11" s="18" t="s">
        <v>241</v>
      </c>
      <c r="C11" s="19"/>
      <c r="D11" s="19"/>
      <c r="E11" s="20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21" t="s">
        <v>24</v>
      </c>
      <c r="B12" s="22" t="s">
        <v>25</v>
      </c>
      <c r="C12" s="22" t="s">
        <v>242</v>
      </c>
      <c r="D12" s="22" t="s">
        <v>243</v>
      </c>
      <c r="E12" s="22" t="s">
        <v>244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23" t="s">
        <v>26</v>
      </c>
      <c r="B13" s="24" t="s">
        <v>27</v>
      </c>
      <c r="C13" s="24" t="s">
        <v>245</v>
      </c>
      <c r="D13" s="24" t="s">
        <v>246</v>
      </c>
      <c r="E13" s="24" t="s">
        <v>247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21" t="s">
        <v>28</v>
      </c>
      <c r="B14" s="22" t="s">
        <v>29</v>
      </c>
      <c r="C14" s="22" t="s">
        <v>248</v>
      </c>
      <c r="D14" s="22" t="s">
        <v>249</v>
      </c>
      <c r="E14" s="22" t="s">
        <v>250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23" t="s">
        <v>30</v>
      </c>
      <c r="B15" s="24" t="s">
        <v>31</v>
      </c>
      <c r="C15" s="24" t="s">
        <v>251</v>
      </c>
      <c r="D15" s="24" t="s">
        <v>252</v>
      </c>
      <c r="E15" s="24" t="s">
        <v>253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21" t="s">
        <v>32</v>
      </c>
      <c r="B16" s="22" t="s">
        <v>33</v>
      </c>
      <c r="C16" s="22" t="s">
        <v>254</v>
      </c>
      <c r="D16" s="22" t="s">
        <v>255</v>
      </c>
      <c r="E16" s="22" t="s">
        <v>256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23" t="s">
        <v>34</v>
      </c>
      <c r="B17" s="24" t="s">
        <v>35</v>
      </c>
      <c r="C17" s="24" t="s">
        <v>257</v>
      </c>
      <c r="D17" s="24" t="s">
        <v>258</v>
      </c>
      <c r="E17" s="24" t="s">
        <v>259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21" t="s">
        <v>36</v>
      </c>
      <c r="B18" s="22" t="s">
        <v>37</v>
      </c>
      <c r="C18" s="22" t="s">
        <v>260</v>
      </c>
      <c r="D18" s="22" t="s">
        <v>261</v>
      </c>
      <c r="E18" s="22" t="s">
        <v>262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23" t="s">
        <v>38</v>
      </c>
      <c r="B19" s="24" t="s">
        <v>39</v>
      </c>
      <c r="C19" s="24" t="s">
        <v>263</v>
      </c>
      <c r="D19" s="24" t="s">
        <v>264</v>
      </c>
      <c r="E19" s="24" t="s">
        <v>265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21" t="s">
        <v>40</v>
      </c>
      <c r="B20" s="22" t="s">
        <v>41</v>
      </c>
      <c r="C20" s="22" t="s">
        <v>266</v>
      </c>
      <c r="D20" s="22" t="s">
        <v>267</v>
      </c>
      <c r="E20" s="22" t="s">
        <v>268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23" t="s">
        <v>42</v>
      </c>
      <c r="B21" s="24" t="s">
        <v>43</v>
      </c>
      <c r="C21" s="24" t="s">
        <v>269</v>
      </c>
      <c r="D21" s="24" t="s">
        <v>270</v>
      </c>
      <c r="E21" s="24" t="s">
        <v>271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27.0" customHeight="1">
      <c r="A22" s="17" t="s">
        <v>44</v>
      </c>
      <c r="B22" s="18" t="s">
        <v>45</v>
      </c>
      <c r="C22" s="19"/>
      <c r="D22" s="19"/>
      <c r="E22" s="20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21" t="s">
        <v>46</v>
      </c>
      <c r="B23" s="22" t="s">
        <v>47</v>
      </c>
      <c r="C23" s="22" t="s">
        <v>272</v>
      </c>
      <c r="D23" s="22" t="s">
        <v>273</v>
      </c>
      <c r="E23" s="22" t="s">
        <v>274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23" t="s">
        <v>48</v>
      </c>
      <c r="B24" s="24" t="s">
        <v>49</v>
      </c>
      <c r="C24" s="24" t="s">
        <v>275</v>
      </c>
      <c r="D24" s="24" t="s">
        <v>276</v>
      </c>
      <c r="E24" s="24" t="s">
        <v>277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21" t="s">
        <v>51</v>
      </c>
      <c r="B25" s="22" t="s">
        <v>52</v>
      </c>
      <c r="C25" s="22" t="s">
        <v>278</v>
      </c>
      <c r="D25" s="22" t="s">
        <v>279</v>
      </c>
      <c r="E25" s="22" t="s">
        <v>280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23" t="s">
        <v>53</v>
      </c>
      <c r="B26" s="24" t="s">
        <v>54</v>
      </c>
      <c r="C26" s="24" t="s">
        <v>281</v>
      </c>
      <c r="D26" s="24" t="s">
        <v>282</v>
      </c>
      <c r="E26" s="24" t="s">
        <v>283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21" t="s">
        <v>55</v>
      </c>
      <c r="B27" s="22" t="s">
        <v>56</v>
      </c>
      <c r="C27" s="22" t="s">
        <v>284</v>
      </c>
      <c r="D27" s="22" t="s">
        <v>285</v>
      </c>
      <c r="E27" s="22" t="s">
        <v>286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23" t="s">
        <v>57</v>
      </c>
      <c r="B28" s="24" t="s">
        <v>58</v>
      </c>
      <c r="C28" s="24" t="s">
        <v>287</v>
      </c>
      <c r="D28" s="24" t="s">
        <v>288</v>
      </c>
      <c r="E28" s="24" t="s">
        <v>289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21" t="s">
        <v>59</v>
      </c>
      <c r="B29" s="22" t="s">
        <v>60</v>
      </c>
      <c r="C29" s="22" t="s">
        <v>290</v>
      </c>
      <c r="D29" s="22" t="s">
        <v>291</v>
      </c>
      <c r="E29" s="22" t="s">
        <v>292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27.0" customHeight="1">
      <c r="A30" s="17" t="s">
        <v>61</v>
      </c>
      <c r="B30" s="18" t="s">
        <v>62</v>
      </c>
      <c r="C30" s="19"/>
      <c r="D30" s="19"/>
      <c r="E30" s="2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21" t="s">
        <v>63</v>
      </c>
      <c r="B31" s="22" t="s">
        <v>64</v>
      </c>
      <c r="C31" s="22" t="s">
        <v>293</v>
      </c>
      <c r="D31" s="22" t="s">
        <v>294</v>
      </c>
      <c r="E31" s="22" t="s">
        <v>295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23" t="s">
        <v>65</v>
      </c>
      <c r="B32" s="24" t="s">
        <v>66</v>
      </c>
      <c r="C32" s="24" t="s">
        <v>296</v>
      </c>
      <c r="D32" s="24" t="s">
        <v>297</v>
      </c>
      <c r="E32" s="24" t="s">
        <v>298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21" t="s">
        <v>67</v>
      </c>
      <c r="B33" s="22" t="s">
        <v>68</v>
      </c>
      <c r="C33" s="22" t="s">
        <v>299</v>
      </c>
      <c r="D33" s="22" t="s">
        <v>300</v>
      </c>
      <c r="E33" s="22" t="s">
        <v>301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23" t="s">
        <v>69</v>
      </c>
      <c r="B34" s="24" t="s">
        <v>70</v>
      </c>
      <c r="C34" s="24" t="s">
        <v>302</v>
      </c>
      <c r="D34" s="24" t="s">
        <v>303</v>
      </c>
      <c r="E34" s="24" t="s">
        <v>304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21" t="s">
        <v>71</v>
      </c>
      <c r="B35" s="22" t="s">
        <v>72</v>
      </c>
      <c r="C35" s="22" t="s">
        <v>305</v>
      </c>
      <c r="D35" s="22" t="s">
        <v>306</v>
      </c>
      <c r="E35" s="22" t="s">
        <v>307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23" t="s">
        <v>73</v>
      </c>
      <c r="B36" s="24" t="s">
        <v>74</v>
      </c>
      <c r="C36" s="24" t="s">
        <v>308</v>
      </c>
      <c r="D36" s="24" t="s">
        <v>309</v>
      </c>
      <c r="E36" s="24" t="s">
        <v>310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21" t="s">
        <v>75</v>
      </c>
      <c r="B37" s="22" t="s">
        <v>76</v>
      </c>
      <c r="C37" s="22" t="s">
        <v>311</v>
      </c>
      <c r="D37" s="22" t="s">
        <v>312</v>
      </c>
      <c r="E37" s="22" t="s">
        <v>313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27.0" customHeight="1">
      <c r="A38" s="17" t="s">
        <v>77</v>
      </c>
      <c r="B38" s="18" t="s">
        <v>78</v>
      </c>
      <c r="C38" s="19"/>
      <c r="D38" s="19"/>
      <c r="E38" s="20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21" t="s">
        <v>79</v>
      </c>
      <c r="B39" s="22" t="s">
        <v>314</v>
      </c>
      <c r="C39" s="22" t="s">
        <v>315</v>
      </c>
      <c r="D39" s="22" t="s">
        <v>316</v>
      </c>
      <c r="E39" s="22" t="s">
        <v>317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23" t="s">
        <v>81</v>
      </c>
      <c r="B40" s="24" t="s">
        <v>82</v>
      </c>
      <c r="C40" s="24" t="s">
        <v>318</v>
      </c>
      <c r="D40" s="24" t="s">
        <v>319</v>
      </c>
      <c r="E40" s="24" t="s">
        <v>320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21" t="s">
        <v>83</v>
      </c>
      <c r="B41" s="22" t="s">
        <v>84</v>
      </c>
      <c r="C41" s="22" t="s">
        <v>321</v>
      </c>
      <c r="D41" s="22" t="s">
        <v>322</v>
      </c>
      <c r="E41" s="22" t="s">
        <v>323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23" t="s">
        <v>85</v>
      </c>
      <c r="B42" s="24" t="s">
        <v>86</v>
      </c>
      <c r="C42" s="24" t="s">
        <v>324</v>
      </c>
      <c r="D42" s="24" t="s">
        <v>325</v>
      </c>
      <c r="E42" s="24" t="s">
        <v>326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21" t="s">
        <v>87</v>
      </c>
      <c r="B43" s="22" t="s">
        <v>88</v>
      </c>
      <c r="C43" s="22" t="s">
        <v>327</v>
      </c>
      <c r="D43" s="22" t="s">
        <v>328</v>
      </c>
      <c r="E43" s="22" t="s">
        <v>329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23" t="s">
        <v>89</v>
      </c>
      <c r="B44" s="24" t="s">
        <v>90</v>
      </c>
      <c r="C44" s="24" t="s">
        <v>330</v>
      </c>
      <c r="D44" s="24" t="s">
        <v>331</v>
      </c>
      <c r="E44" s="24" t="s">
        <v>332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21" t="s">
        <v>91</v>
      </c>
      <c r="B45" s="22" t="s">
        <v>92</v>
      </c>
      <c r="C45" s="22" t="s">
        <v>333</v>
      </c>
      <c r="D45" s="22" t="s">
        <v>334</v>
      </c>
      <c r="E45" s="22" t="s">
        <v>335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23" t="s">
        <v>93</v>
      </c>
      <c r="B46" s="24" t="s">
        <v>94</v>
      </c>
      <c r="C46" s="24" t="s">
        <v>336</v>
      </c>
      <c r="D46" s="24" t="s">
        <v>337</v>
      </c>
      <c r="E46" s="24" t="s">
        <v>338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27.0" customHeight="1">
      <c r="A47" s="17" t="s">
        <v>95</v>
      </c>
      <c r="B47" s="18" t="s">
        <v>96</v>
      </c>
      <c r="C47" s="19"/>
      <c r="D47" s="19"/>
      <c r="E47" s="20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21" t="s">
        <v>97</v>
      </c>
      <c r="B48" s="22" t="s">
        <v>98</v>
      </c>
      <c r="C48" s="22" t="s">
        <v>339</v>
      </c>
      <c r="D48" s="22" t="s">
        <v>340</v>
      </c>
      <c r="E48" s="22" t="s">
        <v>341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23" t="s">
        <v>99</v>
      </c>
      <c r="B49" s="24" t="s">
        <v>100</v>
      </c>
      <c r="C49" s="24" t="s">
        <v>342</v>
      </c>
      <c r="D49" s="24" t="s">
        <v>343</v>
      </c>
      <c r="E49" s="24" t="s">
        <v>344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21" t="s">
        <v>101</v>
      </c>
      <c r="B50" s="22" t="s">
        <v>102</v>
      </c>
      <c r="C50" s="22" t="s">
        <v>345</v>
      </c>
      <c r="D50" s="22" t="s">
        <v>346</v>
      </c>
      <c r="E50" s="22" t="s">
        <v>347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23" t="s">
        <v>103</v>
      </c>
      <c r="B51" s="24" t="s">
        <v>104</v>
      </c>
      <c r="C51" s="24" t="s">
        <v>348</v>
      </c>
      <c r="D51" s="24" t="s">
        <v>349</v>
      </c>
      <c r="E51" s="24" t="s">
        <v>350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21" t="s">
        <v>105</v>
      </c>
      <c r="B52" s="22" t="s">
        <v>106</v>
      </c>
      <c r="C52" s="22" t="s">
        <v>351</v>
      </c>
      <c r="D52" s="22" t="s">
        <v>352</v>
      </c>
      <c r="E52" s="22" t="s">
        <v>353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23" t="s">
        <v>107</v>
      </c>
      <c r="B53" s="24" t="s">
        <v>108</v>
      </c>
      <c r="C53" s="24" t="s">
        <v>354</v>
      </c>
      <c r="D53" s="24" t="s">
        <v>355</v>
      </c>
      <c r="E53" s="24" t="s">
        <v>356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21" t="s">
        <v>109</v>
      </c>
      <c r="B54" s="22" t="s">
        <v>110</v>
      </c>
      <c r="C54" s="22" t="s">
        <v>357</v>
      </c>
      <c r="D54" s="22" t="s">
        <v>358</v>
      </c>
      <c r="E54" s="22" t="s">
        <v>359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23" t="s">
        <v>111</v>
      </c>
      <c r="B55" s="24" t="s">
        <v>112</v>
      </c>
      <c r="C55" s="24" t="s">
        <v>360</v>
      </c>
      <c r="D55" s="24" t="s">
        <v>361</v>
      </c>
      <c r="E55" s="24" t="s">
        <v>362</v>
      </c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21" t="s">
        <v>113</v>
      </c>
      <c r="B56" s="22" t="s">
        <v>114</v>
      </c>
      <c r="C56" s="22" t="s">
        <v>363</v>
      </c>
      <c r="D56" s="22" t="s">
        <v>364</v>
      </c>
      <c r="E56" s="22" t="s">
        <v>365</v>
      </c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23" t="s">
        <v>115</v>
      </c>
      <c r="B57" s="24" t="s">
        <v>116</v>
      </c>
      <c r="C57" s="24" t="s">
        <v>366</v>
      </c>
      <c r="D57" s="24" t="s">
        <v>367</v>
      </c>
      <c r="E57" s="24" t="s">
        <v>368</v>
      </c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21" t="s">
        <v>117</v>
      </c>
      <c r="B58" s="22" t="s">
        <v>118</v>
      </c>
      <c r="C58" s="22" t="s">
        <v>369</v>
      </c>
      <c r="D58" s="22" t="s">
        <v>370</v>
      </c>
      <c r="E58" s="22" t="s">
        <v>371</v>
      </c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27.0" customHeight="1">
      <c r="A59" s="17" t="s">
        <v>119</v>
      </c>
      <c r="B59" s="18" t="s">
        <v>120</v>
      </c>
      <c r="C59" s="19"/>
      <c r="D59" s="19"/>
      <c r="E59" s="20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21" t="s">
        <v>121</v>
      </c>
      <c r="B60" s="22" t="s">
        <v>122</v>
      </c>
      <c r="C60" s="22" t="s">
        <v>372</v>
      </c>
      <c r="D60" s="22" t="s">
        <v>373</v>
      </c>
      <c r="E60" s="22" t="s">
        <v>374</v>
      </c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23" t="s">
        <v>123</v>
      </c>
      <c r="B61" s="24" t="s">
        <v>375</v>
      </c>
      <c r="C61" s="24" t="s">
        <v>376</v>
      </c>
      <c r="D61" s="24" t="s">
        <v>377</v>
      </c>
      <c r="E61" s="24" t="s">
        <v>378</v>
      </c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21" t="s">
        <v>125</v>
      </c>
      <c r="B62" s="22" t="s">
        <v>126</v>
      </c>
      <c r="C62" s="22" t="s">
        <v>379</v>
      </c>
      <c r="D62" s="22" t="s">
        <v>380</v>
      </c>
      <c r="E62" s="22" t="s">
        <v>381</v>
      </c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23" t="s">
        <v>127</v>
      </c>
      <c r="B63" s="24" t="s">
        <v>128</v>
      </c>
      <c r="C63" s="24" t="s">
        <v>382</v>
      </c>
      <c r="D63" s="24" t="s">
        <v>383</v>
      </c>
      <c r="E63" s="24" t="s">
        <v>384</v>
      </c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21" t="s">
        <v>129</v>
      </c>
      <c r="B64" s="22" t="s">
        <v>130</v>
      </c>
      <c r="C64" s="22" t="s">
        <v>385</v>
      </c>
      <c r="D64" s="22" t="s">
        <v>386</v>
      </c>
      <c r="E64" s="22" t="s">
        <v>387</v>
      </c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23" t="s">
        <v>131</v>
      </c>
      <c r="B65" s="24" t="s">
        <v>132</v>
      </c>
      <c r="C65" s="24" t="s">
        <v>388</v>
      </c>
      <c r="D65" s="24" t="s">
        <v>389</v>
      </c>
      <c r="E65" s="24" t="s">
        <v>390</v>
      </c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21" t="s">
        <v>133</v>
      </c>
      <c r="B66" s="22" t="s">
        <v>134</v>
      </c>
      <c r="C66" s="22" t="s">
        <v>391</v>
      </c>
      <c r="D66" s="22" t="s">
        <v>392</v>
      </c>
      <c r="E66" s="22" t="s">
        <v>393</v>
      </c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23" t="s">
        <v>135</v>
      </c>
      <c r="B67" s="24" t="s">
        <v>136</v>
      </c>
      <c r="C67" s="24" t="s">
        <v>394</v>
      </c>
      <c r="D67" s="24" t="s">
        <v>395</v>
      </c>
      <c r="E67" s="24" t="s">
        <v>396</v>
      </c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27.0" customHeight="1">
      <c r="A68" s="17" t="s">
        <v>137</v>
      </c>
      <c r="B68" s="18" t="s">
        <v>138</v>
      </c>
      <c r="C68" s="19"/>
      <c r="D68" s="19"/>
      <c r="E68" s="20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21" t="s">
        <v>139</v>
      </c>
      <c r="B69" s="22" t="s">
        <v>140</v>
      </c>
      <c r="C69" s="22" t="s">
        <v>397</v>
      </c>
      <c r="D69" s="22" t="s">
        <v>398</v>
      </c>
      <c r="E69" s="22" t="s">
        <v>399</v>
      </c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23" t="s">
        <v>141</v>
      </c>
      <c r="B70" s="24" t="s">
        <v>142</v>
      </c>
      <c r="C70" s="24" t="s">
        <v>400</v>
      </c>
      <c r="D70" s="24" t="s">
        <v>401</v>
      </c>
      <c r="E70" s="24" t="s">
        <v>402</v>
      </c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21" t="s">
        <v>143</v>
      </c>
      <c r="B71" s="22" t="s">
        <v>144</v>
      </c>
      <c r="C71" s="22" t="s">
        <v>403</v>
      </c>
      <c r="D71" s="22" t="s">
        <v>404</v>
      </c>
      <c r="E71" s="22" t="s">
        <v>405</v>
      </c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23" t="s">
        <v>145</v>
      </c>
      <c r="B72" s="24" t="s">
        <v>146</v>
      </c>
      <c r="C72" s="24" t="s">
        <v>406</v>
      </c>
      <c r="D72" s="24" t="s">
        <v>407</v>
      </c>
      <c r="E72" s="24" t="s">
        <v>408</v>
      </c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21" t="s">
        <v>147</v>
      </c>
      <c r="B73" s="22" t="s">
        <v>148</v>
      </c>
      <c r="C73" s="22" t="s">
        <v>409</v>
      </c>
      <c r="D73" s="22" t="s">
        <v>410</v>
      </c>
      <c r="E73" s="22" t="s">
        <v>411</v>
      </c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23" t="s">
        <v>149</v>
      </c>
      <c r="B74" s="24" t="s">
        <v>150</v>
      </c>
      <c r="C74" s="24" t="s">
        <v>412</v>
      </c>
      <c r="D74" s="24" t="s">
        <v>413</v>
      </c>
      <c r="E74" s="24" t="s">
        <v>414</v>
      </c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21" t="s">
        <v>151</v>
      </c>
      <c r="B75" s="22" t="s">
        <v>152</v>
      </c>
      <c r="C75" s="22" t="s">
        <v>415</v>
      </c>
      <c r="D75" s="22" t="s">
        <v>416</v>
      </c>
      <c r="E75" s="22" t="s">
        <v>417</v>
      </c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27.0" customHeight="1">
      <c r="A76" s="17" t="s">
        <v>153</v>
      </c>
      <c r="B76" s="18" t="s">
        <v>154</v>
      </c>
      <c r="C76" s="19"/>
      <c r="D76" s="19"/>
      <c r="E76" s="20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21" t="s">
        <v>155</v>
      </c>
      <c r="B77" s="22" t="s">
        <v>156</v>
      </c>
      <c r="C77" s="22" t="s">
        <v>418</v>
      </c>
      <c r="D77" s="22" t="s">
        <v>419</v>
      </c>
      <c r="E77" s="22" t="s">
        <v>420</v>
      </c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23" t="s">
        <v>157</v>
      </c>
      <c r="B78" s="24" t="s">
        <v>158</v>
      </c>
      <c r="C78" s="24" t="s">
        <v>421</v>
      </c>
      <c r="D78" s="24" t="s">
        <v>422</v>
      </c>
      <c r="E78" s="24" t="s">
        <v>423</v>
      </c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21" t="s">
        <v>159</v>
      </c>
      <c r="B79" s="22" t="s">
        <v>160</v>
      </c>
      <c r="C79" s="22" t="s">
        <v>424</v>
      </c>
      <c r="D79" s="22" t="s">
        <v>425</v>
      </c>
      <c r="E79" s="22" t="s">
        <v>426</v>
      </c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23" t="s">
        <v>161</v>
      </c>
      <c r="B80" s="24" t="s">
        <v>162</v>
      </c>
      <c r="C80" s="24" t="s">
        <v>427</v>
      </c>
      <c r="D80" s="24" t="s">
        <v>428</v>
      </c>
      <c r="E80" s="24" t="s">
        <v>429</v>
      </c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21" t="s">
        <v>163</v>
      </c>
      <c r="B81" s="22" t="s">
        <v>164</v>
      </c>
      <c r="C81" s="22" t="s">
        <v>430</v>
      </c>
      <c r="D81" s="22" t="s">
        <v>431</v>
      </c>
      <c r="E81" s="22" t="s">
        <v>432</v>
      </c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27.0" customHeight="1">
      <c r="A82" s="17" t="s">
        <v>165</v>
      </c>
      <c r="B82" s="18" t="s">
        <v>166</v>
      </c>
      <c r="C82" s="19"/>
      <c r="D82" s="19"/>
      <c r="E82" s="20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21" t="s">
        <v>167</v>
      </c>
      <c r="B83" s="22" t="s">
        <v>168</v>
      </c>
      <c r="C83" s="22" t="s">
        <v>433</v>
      </c>
      <c r="D83" s="22" t="s">
        <v>434</v>
      </c>
      <c r="E83" s="22" t="s">
        <v>435</v>
      </c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23" t="s">
        <v>169</v>
      </c>
      <c r="B84" s="24" t="s">
        <v>170</v>
      </c>
      <c r="C84" s="24" t="s">
        <v>436</v>
      </c>
      <c r="D84" s="24" t="s">
        <v>437</v>
      </c>
      <c r="E84" s="24" t="s">
        <v>438</v>
      </c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21" t="s">
        <v>171</v>
      </c>
      <c r="B85" s="22" t="s">
        <v>172</v>
      </c>
      <c r="C85" s="22" t="s">
        <v>439</v>
      </c>
      <c r="D85" s="22" t="s">
        <v>440</v>
      </c>
      <c r="E85" s="22" t="s">
        <v>441</v>
      </c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23" t="s">
        <v>173</v>
      </c>
      <c r="B86" s="24" t="s">
        <v>174</v>
      </c>
      <c r="C86" s="24" t="s">
        <v>442</v>
      </c>
      <c r="D86" s="24" t="s">
        <v>443</v>
      </c>
      <c r="E86" s="24" t="s">
        <v>444</v>
      </c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21" t="s">
        <v>175</v>
      </c>
      <c r="B87" s="22" t="s">
        <v>176</v>
      </c>
      <c r="C87" s="22" t="s">
        <v>445</v>
      </c>
      <c r="D87" s="22" t="s">
        <v>446</v>
      </c>
      <c r="E87" s="22" t="s">
        <v>447</v>
      </c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23" t="s">
        <v>177</v>
      </c>
      <c r="B88" s="24" t="s">
        <v>178</v>
      </c>
      <c r="C88" s="24" t="s">
        <v>448</v>
      </c>
      <c r="D88" s="24" t="s">
        <v>449</v>
      </c>
      <c r="E88" s="24" t="s">
        <v>450</v>
      </c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21" t="s">
        <v>179</v>
      </c>
      <c r="B89" s="22" t="s">
        <v>180</v>
      </c>
      <c r="C89" s="22" t="s">
        <v>451</v>
      </c>
      <c r="D89" s="22" t="s">
        <v>452</v>
      </c>
      <c r="E89" s="22" t="s">
        <v>453</v>
      </c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23" t="s">
        <v>181</v>
      </c>
      <c r="B90" s="24" t="s">
        <v>182</v>
      </c>
      <c r="C90" s="24" t="s">
        <v>454</v>
      </c>
      <c r="D90" s="24" t="s">
        <v>455</v>
      </c>
      <c r="E90" s="24" t="s">
        <v>456</v>
      </c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27.0" customHeight="1">
      <c r="A91" s="17" t="s">
        <v>183</v>
      </c>
      <c r="B91" s="18" t="s">
        <v>457</v>
      </c>
      <c r="C91" s="19"/>
      <c r="D91" s="19"/>
      <c r="E91" s="20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21" t="s">
        <v>185</v>
      </c>
      <c r="B92" s="22" t="s">
        <v>186</v>
      </c>
      <c r="C92" s="22" t="s">
        <v>458</v>
      </c>
      <c r="D92" s="22" t="s">
        <v>459</v>
      </c>
      <c r="E92" s="22" t="s">
        <v>460</v>
      </c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23" t="s">
        <v>187</v>
      </c>
      <c r="B93" s="24" t="s">
        <v>188</v>
      </c>
      <c r="C93" s="24" t="s">
        <v>461</v>
      </c>
      <c r="D93" s="24" t="s">
        <v>462</v>
      </c>
      <c r="E93" s="24" t="s">
        <v>463</v>
      </c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21" t="s">
        <v>189</v>
      </c>
      <c r="B94" s="22" t="s">
        <v>190</v>
      </c>
      <c r="C94" s="22" t="s">
        <v>464</v>
      </c>
      <c r="D94" s="22" t="s">
        <v>465</v>
      </c>
      <c r="E94" s="22" t="s">
        <v>466</v>
      </c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23" t="s">
        <v>191</v>
      </c>
      <c r="B95" s="24" t="s">
        <v>467</v>
      </c>
      <c r="C95" s="24" t="s">
        <v>468</v>
      </c>
      <c r="D95" s="24" t="s">
        <v>469</v>
      </c>
      <c r="E95" s="24" t="s">
        <v>470</v>
      </c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21" t="s">
        <v>193</v>
      </c>
      <c r="B96" s="22" t="s">
        <v>194</v>
      </c>
      <c r="C96" s="22" t="s">
        <v>471</v>
      </c>
      <c r="D96" s="22" t="s">
        <v>472</v>
      </c>
      <c r="E96" s="22" t="s">
        <v>473</v>
      </c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23" t="s">
        <v>195</v>
      </c>
      <c r="B97" s="24" t="s">
        <v>196</v>
      </c>
      <c r="C97" s="24" t="s">
        <v>474</v>
      </c>
      <c r="D97" s="24" t="s">
        <v>475</v>
      </c>
      <c r="E97" s="24" t="s">
        <v>476</v>
      </c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21" t="s">
        <v>197</v>
      </c>
      <c r="B98" s="22" t="s">
        <v>198</v>
      </c>
      <c r="C98" s="22" t="s">
        <v>477</v>
      </c>
      <c r="D98" s="22" t="s">
        <v>478</v>
      </c>
      <c r="E98" s="22" t="s">
        <v>479</v>
      </c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23" t="s">
        <v>200</v>
      </c>
      <c r="B99" s="24" t="s">
        <v>201</v>
      </c>
      <c r="C99" s="24" t="s">
        <v>480</v>
      </c>
      <c r="D99" s="24" t="s">
        <v>481</v>
      </c>
      <c r="E99" s="24" t="s">
        <v>482</v>
      </c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21" t="s">
        <v>202</v>
      </c>
      <c r="B100" s="22" t="s">
        <v>203</v>
      </c>
      <c r="C100" s="22" t="s">
        <v>483</v>
      </c>
      <c r="D100" s="22" t="s">
        <v>484</v>
      </c>
      <c r="E100" s="22" t="s">
        <v>485</v>
      </c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25"/>
      <c r="B101" s="26" t="s">
        <v>486</v>
      </c>
      <c r="C101" s="27" t="s">
        <v>487</v>
      </c>
      <c r="D101" s="27" t="s">
        <v>488</v>
      </c>
      <c r="E101" s="27" t="s">
        <v>489</v>
      </c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11">
    <mergeCell ref="B68:E68"/>
    <mergeCell ref="B76:E76"/>
    <mergeCell ref="B82:E82"/>
    <mergeCell ref="B91:E91"/>
    <mergeCell ref="B2:E2"/>
    <mergeCell ref="B11:E11"/>
    <mergeCell ref="B22:E22"/>
    <mergeCell ref="B30:E30"/>
    <mergeCell ref="B38:E38"/>
    <mergeCell ref="B47:E47"/>
    <mergeCell ref="B59:E59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2026-03-13T16:25:24Z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