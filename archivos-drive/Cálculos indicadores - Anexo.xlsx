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aCola Retornable" sheetId="1" r:id="rId5"/>
    <sheet state="visible" name="Monster" sheetId="2" r:id="rId6"/>
    <sheet state="visible" name="Agua Embotellada" sheetId="3" r:id="rId7"/>
  </sheets>
  <definedNames/>
  <calcPr/>
</workbook>
</file>

<file path=xl/sharedStrings.xml><?xml version="1.0" encoding="utf-8"?>
<sst xmlns="http://schemas.openxmlformats.org/spreadsheetml/2006/main" count="609" uniqueCount="153">
  <si>
    <t>Cálculos indicadores para Coca-cola retornable</t>
  </si>
  <si>
    <t>Indicador</t>
  </si>
  <si>
    <t>Siglas</t>
  </si>
  <si>
    <t>Valor</t>
  </si>
  <si>
    <t>Unidad</t>
  </si>
  <si>
    <t>Análisis</t>
  </si>
  <si>
    <t>Fórmula</t>
  </si>
  <si>
    <t>Tiempo netro de trabajo disponible</t>
  </si>
  <si>
    <t>T_D</t>
  </si>
  <si>
    <t>s</t>
  </si>
  <si>
    <t>Valor tomado de Coca Cola a partir de su producción mínima por hora.</t>
  </si>
  <si>
    <t>-</t>
  </si>
  <si>
    <t>Demanda mínima</t>
  </si>
  <si>
    <t>D</t>
  </si>
  <si>
    <t>botella</t>
  </si>
  <si>
    <t>Takt time</t>
  </si>
  <si>
    <t>Takt</t>
  </si>
  <si>
    <t>s / botella</t>
  </si>
  <si>
    <t>T_D / D</t>
  </si>
  <si>
    <t>Tiempo de operación total (procesos)</t>
  </si>
  <si>
    <t>T_o_total</t>
  </si>
  <si>
    <t>Valor tomado de acuerdo a VSM (para una botella desde el lavado hasta el embalaje)</t>
  </si>
  <si>
    <t>Si hubieran 1440 botellas en linea y se hicieran durante los 136 segundos (dan los cálculos para la producción)</t>
  </si>
  <si>
    <t>Tiempo de manipulación de la parte total</t>
  </si>
  <si>
    <t>T_h_total</t>
  </si>
  <si>
    <t>Valor tomado principalmente de desplazamientos (para una botella desde el lavado hasta el almacenamiento)</t>
  </si>
  <si>
    <t>Tiempo de manipulación de la herramienta total</t>
  </si>
  <si>
    <t>T_th_total</t>
  </si>
  <si>
    <t>Valor tomado de preparación para una producción de 8 horas con cambio de bebida</t>
  </si>
  <si>
    <t>Tiempo de ciclo de una botella</t>
  </si>
  <si>
    <t>T_C</t>
  </si>
  <si>
    <t>Tamaño de lote</t>
  </si>
  <si>
    <t>Q</t>
  </si>
  <si>
    <t>Tiempo de alistamiento de un lote</t>
  </si>
  <si>
    <t>T_su</t>
  </si>
  <si>
    <t>Si se toman 1h por cada 8h de trabajo, y en esas 7h restantes producen minimo 140.000 botellas, para 1440 botellas sería...</t>
  </si>
  <si>
    <t>Tiempo de producción de un lote</t>
  </si>
  <si>
    <t>T_b</t>
  </si>
  <si>
    <t>min</t>
  </si>
  <si>
    <t>cantidad de lotes requerida</t>
  </si>
  <si>
    <t>&lt; 3600</t>
  </si>
  <si>
    <t>Tiempo no operativo de un lote</t>
  </si>
  <si>
    <t>T_no</t>
  </si>
  <si>
    <t>Estimado mientras se mantengan botellas seguidas siempre, ya que solo se cuenta el tiempo en que la primera botella llega al final de la línea (por cada 8 horas), de ahí en adelante todas las botellas van de seguido y el tiempo entre cada una es mínimo (distancia minima). Todo esto bajo supuestos de errores infimos</t>
  </si>
  <si>
    <t>Tiempo total de fabricación de un lote</t>
  </si>
  <si>
    <t>T_no + T_b</t>
  </si>
  <si>
    <t>,</t>
  </si>
  <si>
    <t>Tiempo de producción por unidad</t>
  </si>
  <si>
    <t>T_p</t>
  </si>
  <si>
    <t>Tasa de producción</t>
  </si>
  <si>
    <t>R_p</t>
  </si>
  <si>
    <t>botella / hora</t>
  </si>
  <si>
    <t>Número de estaciones</t>
  </si>
  <si>
    <t>n</t>
  </si>
  <si>
    <t>estaciones</t>
  </si>
  <si>
    <t>Solo se tiene 2 líneas de botellas retornables</t>
  </si>
  <si>
    <t>Número de turnos por periodo</t>
  </si>
  <si>
    <t>S</t>
  </si>
  <si>
    <t>turnos / semana</t>
  </si>
  <si>
    <t>Número de horas en donde se produce por turno</t>
  </si>
  <si>
    <t>H</t>
  </si>
  <si>
    <t>horas</t>
  </si>
  <si>
    <t xml:space="preserve">Capacidad de producción </t>
  </si>
  <si>
    <t>PC</t>
  </si>
  <si>
    <t>botellas / semana</t>
  </si>
  <si>
    <t>Cantidad realmente producida por la fabrica</t>
  </si>
  <si>
    <t>Cambiar de acuerdo a lo que haga la fabrica</t>
  </si>
  <si>
    <t>Utilización: Fracción en la que se está usando la planta de producción con relación a la capacidad</t>
  </si>
  <si>
    <t>U</t>
  </si>
  <si>
    <t>%</t>
  </si>
  <si>
    <t>Revisar si dejar 20000 por hora o 40000 por hora</t>
  </si>
  <si>
    <t>Lavado tiempo de operación</t>
  </si>
  <si>
    <t>Tc1</t>
  </si>
  <si>
    <t>7200-10800</t>
  </si>
  <si>
    <t>Lavado tiempo de no operación (después de terminar la operación)</t>
  </si>
  <si>
    <t>Tno1</t>
  </si>
  <si>
    <t>Llenado tiempo de operación</t>
  </si>
  <si>
    <t>Tc2</t>
  </si>
  <si>
    <t>Llenado tiempo de no operación (después de terminar la operación)</t>
  </si>
  <si>
    <t>Tno2</t>
  </si>
  <si>
    <t>Sellado tiempo de operación</t>
  </si>
  <si>
    <t>Tc3</t>
  </si>
  <si>
    <t>Sellado tiempo de no operación (después de terminar la operación)</t>
  </si>
  <si>
    <t>Tno3</t>
  </si>
  <si>
    <t>Etiquetado tiempo de operación</t>
  </si>
  <si>
    <t>Tc4</t>
  </si>
  <si>
    <t>Etiquetado tiempo de no operación (después de terminar la operación)</t>
  </si>
  <si>
    <t>Tno4</t>
  </si>
  <si>
    <t>Empaque tiempo de operación</t>
  </si>
  <si>
    <t>Tc5</t>
  </si>
  <si>
    <t>Empaque tiempo de no operación (después de terminar la operación)</t>
  </si>
  <si>
    <t>Tno5</t>
  </si>
  <si>
    <t>Paletizado tiempo de operación</t>
  </si>
  <si>
    <t>Tc6</t>
  </si>
  <si>
    <t>Paletizado tiempo de no operación (después de terminar la operación)</t>
  </si>
  <si>
    <t>Tno6</t>
  </si>
  <si>
    <t>Embalaje tiempo de operación</t>
  </si>
  <si>
    <t>Tc7</t>
  </si>
  <si>
    <t>Embalaje tiempo de no operación (después de terminar la operación)</t>
  </si>
  <si>
    <t>Tno7</t>
  </si>
  <si>
    <t>Almacenamiento tiempo de operación</t>
  </si>
  <si>
    <t>Tc8</t>
  </si>
  <si>
    <t>TIempo si se toma 1 pallet por cada trayecto, si se mueven 2 pallets por trayecto se reduce a la mitad, como en Tocancipá</t>
  </si>
  <si>
    <t>Tiempo de alistamiento más alto</t>
  </si>
  <si>
    <t>T_su_max</t>
  </si>
  <si>
    <t>Se podría dejar igual a T_su pero este se hace con una división de un valor más grande, o dejar el tiempo que se considere que se demora en alistarse la máquina más demorada (desconocido). Se deja en 120s por ahora</t>
  </si>
  <si>
    <t>Manufacturing Lead Time</t>
  </si>
  <si>
    <t>MLT</t>
  </si>
  <si>
    <t>Tiempo total de la planta</t>
  </si>
  <si>
    <t>Tt</t>
  </si>
  <si>
    <t>Se tomó por cada turno</t>
  </si>
  <si>
    <t>Tiempo de inactividad planeada</t>
  </si>
  <si>
    <t>Tip</t>
  </si>
  <si>
    <t>1h de preparación</t>
  </si>
  <si>
    <t>Tiempo de ejecución planeado</t>
  </si>
  <si>
    <t>Tep</t>
  </si>
  <si>
    <t>Tiempo de inactividad no planeada</t>
  </si>
  <si>
    <t>Tnp</t>
  </si>
  <si>
    <t>3% por fallas asumido</t>
  </si>
  <si>
    <t>Tiempo de ejecución real (disponible para producir)</t>
  </si>
  <si>
    <t>Ter</t>
  </si>
  <si>
    <t>Disponibilidad (cálculo por tiempos de ejecución)</t>
  </si>
  <si>
    <t>A</t>
  </si>
  <si>
    <t>Tiempo promedio entre fallas</t>
  </si>
  <si>
    <t>MTBF</t>
  </si>
  <si>
    <t>Tiempo promedio de reparación</t>
  </si>
  <si>
    <t>MTTR</t>
  </si>
  <si>
    <t>Disponibilidad (cálculo por tiempos entre fallas)</t>
  </si>
  <si>
    <t>Volumen real de producción por turno</t>
  </si>
  <si>
    <t>VRP</t>
  </si>
  <si>
    <t>botellas</t>
  </si>
  <si>
    <t>Se asume el 97%. Se toma como base R_P</t>
  </si>
  <si>
    <t>Tiempo de ciclo real</t>
  </si>
  <si>
    <t>Tc</t>
  </si>
  <si>
    <t>Cambiar de acuerdo a lo que haga la fabrica. Aqui se asume igual a T_p (tiempo de producción por unidad calculado)</t>
  </si>
  <si>
    <t>Tasa de eficiencia (Rate Efficiency)</t>
  </si>
  <si>
    <t>RE</t>
  </si>
  <si>
    <t>Este siempre dará 1 porque se calculó con los datoos que estaban todo, los valores reales los dará la fabrica</t>
  </si>
  <si>
    <t>Eficiencia en velocidad (Speed Efficiency)</t>
  </si>
  <si>
    <t>SE</t>
  </si>
  <si>
    <t>La velocidad de producción puede ser mayor a la demanda, pero eso no implica que así se deba calcular para OEE, por eso se toma el minimo entre eso y 1</t>
  </si>
  <si>
    <t>Eficiencia de desempeño (Performance Efficiency</t>
  </si>
  <si>
    <t>PE</t>
  </si>
  <si>
    <t>Cantidad de defectuosos</t>
  </si>
  <si>
    <t>Defect</t>
  </si>
  <si>
    <t>Cambiar de acuerdo a lo que haga la fabrica. Se deja como el 3% de lo planeado, o sea de 23.000 por hora</t>
  </si>
  <si>
    <t>Tasa de calidad (Quality Rate)</t>
  </si>
  <si>
    <t>QR</t>
  </si>
  <si>
    <t>3% hecho a mano de defectos</t>
  </si>
  <si>
    <t>Eficiencia general del equipamiento (Overall Equipment Effectiveness)</t>
  </si>
  <si>
    <t>OEE</t>
  </si>
  <si>
    <t>Cálculos indicadores para Monster energy lata</t>
  </si>
  <si>
    <t>Cálculos indicadores para Agua embotellada 1L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</si>
</sst>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0" fontId="1" numFmtId="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1" fillId="0" fontId="1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0" fontId="1" numFmtId="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3" fillId="2" fontId="2" numFmtId="0" xfId="0" applyAlignment="1" applyBorder="1" applyFill="1" applyFont="1">
      <alignment vertical="bottom"/>
    </xf>
    <xf borderId="2" fillId="0" fontId="1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1" numFmtId="2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readingOrder="0" vertical="bottom"/>
    </xf>
    <xf borderId="3" fillId="0" fontId="2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4" t="s">
        <v>7</v>
      </c>
      <c r="C4" s="4" t="s">
        <v>8</v>
      </c>
      <c r="D4" s="6">
        <v>3600.0</v>
      </c>
      <c r="E4" s="4" t="s">
        <v>9</v>
      </c>
      <c r="F4" s="5" t="s">
        <v>10</v>
      </c>
      <c r="G4" s="5" t="s">
        <v>11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5" t="s">
        <v>12</v>
      </c>
      <c r="C5" s="4" t="s">
        <v>13</v>
      </c>
      <c r="D5" s="6">
        <v>20000.0</v>
      </c>
      <c r="E5" s="4" t="s">
        <v>14</v>
      </c>
      <c r="F5" s="5" t="s">
        <v>10</v>
      </c>
      <c r="G5" s="5" t="s">
        <v>11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7" t="s">
        <v>15</v>
      </c>
      <c r="C6" s="8" t="s">
        <v>16</v>
      </c>
      <c r="D6" s="9">
        <f>D4/D5</f>
        <v>0.18</v>
      </c>
      <c r="E6" s="8" t="s">
        <v>17</v>
      </c>
      <c r="F6" s="7" t="s">
        <v>10</v>
      </c>
      <c r="G6" s="7" t="s">
        <v>18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19</v>
      </c>
      <c r="C7" s="11" t="s">
        <v>20</v>
      </c>
      <c r="D7" s="12">
        <v>0.1</v>
      </c>
      <c r="E7" s="11" t="s">
        <v>9</v>
      </c>
      <c r="F7" s="13" t="s">
        <v>21</v>
      </c>
      <c r="G7" s="14"/>
      <c r="H7" s="15">
        <f>(391-255)/1440</f>
        <v>0.09444444444</v>
      </c>
      <c r="I7" s="16" t="s">
        <v>22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23</v>
      </c>
      <c r="C8" s="4" t="s">
        <v>24</v>
      </c>
      <c r="D8" s="6">
        <v>0.03</v>
      </c>
      <c r="E8" s="4" t="s">
        <v>9</v>
      </c>
      <c r="F8" s="5" t="s">
        <v>25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26</v>
      </c>
      <c r="C9" s="4" t="s">
        <v>27</v>
      </c>
      <c r="D9" s="6">
        <v>0.0</v>
      </c>
      <c r="E9" s="4" t="s">
        <v>9</v>
      </c>
      <c r="F9" s="5" t="s">
        <v>28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29</v>
      </c>
      <c r="C10" s="4" t="s">
        <v>30</v>
      </c>
      <c r="D10" s="17">
        <f>H7+D8+D9</f>
        <v>0.1244444444</v>
      </c>
      <c r="E10" s="4" t="s">
        <v>9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31</v>
      </c>
      <c r="C11" s="4" t="s">
        <v>32</v>
      </c>
      <c r="D11" s="6">
        <v>1440.0</v>
      </c>
      <c r="E11" s="4" t="s">
        <v>14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33</v>
      </c>
      <c r="C12" s="4" t="s">
        <v>34</v>
      </c>
      <c r="D12" s="6">
        <f>1440/140000*3600</f>
        <v>37.02857143</v>
      </c>
      <c r="E12" s="4" t="s">
        <v>9</v>
      </c>
      <c r="F12" s="3"/>
      <c r="G12" s="3"/>
      <c r="H12" s="5" t="s">
        <v>35</v>
      </c>
      <c r="I12" s="18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36</v>
      </c>
      <c r="C13" s="4" t="s">
        <v>37</v>
      </c>
      <c r="D13" s="17">
        <f>(D12+D11*D10)/60</f>
        <v>3.603809524</v>
      </c>
      <c r="E13" s="4" t="s">
        <v>38</v>
      </c>
      <c r="F13" s="3"/>
      <c r="G13" s="4" t="s">
        <v>39</v>
      </c>
      <c r="H13" s="19">
        <f>20000/1440</f>
        <v>13.88888889</v>
      </c>
      <c r="I13" s="20">
        <f>D13*H13</f>
        <v>50.05291005</v>
      </c>
      <c r="J13" s="21" t="s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41</v>
      </c>
      <c r="C14" s="4" t="s">
        <v>42</v>
      </c>
      <c r="D14" s="6">
        <f>0.01*1440</f>
        <v>14.4</v>
      </c>
      <c r="E14" s="4" t="s">
        <v>9</v>
      </c>
      <c r="F14" s="5" t="s">
        <v>43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44</v>
      </c>
      <c r="C15" s="8" t="s">
        <v>45</v>
      </c>
      <c r="D15" s="9">
        <f>(D14+D13*60)/60</f>
        <v>3.843809524</v>
      </c>
      <c r="E15" s="8" t="s">
        <v>38</v>
      </c>
      <c r="F15" s="10"/>
      <c r="G15" s="10"/>
      <c r="H15" s="10"/>
      <c r="I15" s="1"/>
      <c r="J15" s="22" t="s">
        <v>46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47</v>
      </c>
      <c r="C16" s="11" t="s">
        <v>48</v>
      </c>
      <c r="D16" s="23">
        <f>D13*60/D11</f>
        <v>0.1501587302</v>
      </c>
      <c r="E16" s="11" t="s">
        <v>9</v>
      </c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49</v>
      </c>
      <c r="C17" s="8" t="s">
        <v>50</v>
      </c>
      <c r="D17" s="9">
        <f>3600/D16</f>
        <v>23974.63002</v>
      </c>
      <c r="E17" s="8" t="s">
        <v>51</v>
      </c>
      <c r="F17" s="24"/>
      <c r="G17" s="25"/>
      <c r="H17" s="1"/>
      <c r="I17" s="1"/>
      <c r="J17" s="22" t="s">
        <v>46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52</v>
      </c>
      <c r="C18" s="11" t="s">
        <v>53</v>
      </c>
      <c r="D18" s="12">
        <v>2.0</v>
      </c>
      <c r="E18" s="11" t="s">
        <v>54</v>
      </c>
      <c r="F18" s="26" t="s">
        <v>55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56</v>
      </c>
      <c r="C19" s="4" t="s">
        <v>57</v>
      </c>
      <c r="D19" s="17">
        <f>7*3</f>
        <v>21</v>
      </c>
      <c r="E19" s="4" t="s">
        <v>58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59</v>
      </c>
      <c r="C20" s="4" t="s">
        <v>60</v>
      </c>
      <c r="D20" s="6">
        <v>7.0</v>
      </c>
      <c r="E20" s="4" t="s">
        <v>61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62</v>
      </c>
      <c r="C21" s="8" t="s">
        <v>63</v>
      </c>
      <c r="D21" s="27">
        <f>D18*D19*D20*D17</f>
        <v>7048541.226</v>
      </c>
      <c r="E21" s="8" t="s">
        <v>64</v>
      </c>
      <c r="F21" s="24"/>
      <c r="G21" s="25"/>
      <c r="H21" s="1"/>
      <c r="I21" s="1"/>
      <c r="J21" s="22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65</v>
      </c>
      <c r="C22" s="11" t="s">
        <v>32</v>
      </c>
      <c r="D22" s="15">
        <f>D5*D18*D19*D20</f>
        <v>5880000</v>
      </c>
      <c r="E22" s="11" t="s">
        <v>64</v>
      </c>
      <c r="F22" s="1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5" t="s">
        <v>67</v>
      </c>
      <c r="C23" s="4" t="s">
        <v>68</v>
      </c>
      <c r="D23" s="28">
        <f>D22/D21*100</f>
        <v>83.42151675</v>
      </c>
      <c r="E23" s="4" t="s">
        <v>69</v>
      </c>
      <c r="F23" s="4" t="s">
        <v>70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71</v>
      </c>
      <c r="C24" s="4" t="s">
        <v>72</v>
      </c>
      <c r="D24" s="2" t="s">
        <v>73</v>
      </c>
      <c r="E24" s="4" t="s">
        <v>9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74</v>
      </c>
      <c r="C25" s="4" t="s">
        <v>75</v>
      </c>
      <c r="D25" s="3"/>
      <c r="E25" s="4" t="s">
        <v>9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 t="s">
        <v>76</v>
      </c>
      <c r="C26" s="4" t="s">
        <v>77</v>
      </c>
      <c r="D26" s="3"/>
      <c r="E26" s="4" t="s">
        <v>9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 t="s">
        <v>78</v>
      </c>
      <c r="C27" s="4" t="s">
        <v>79</v>
      </c>
      <c r="D27" s="3"/>
      <c r="E27" s="4" t="s">
        <v>9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80</v>
      </c>
      <c r="C28" s="4" t="s">
        <v>81</v>
      </c>
      <c r="D28" s="3"/>
      <c r="E28" s="4" t="s">
        <v>9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 t="s">
        <v>82</v>
      </c>
      <c r="C29" s="4" t="s">
        <v>83</v>
      </c>
      <c r="D29" s="3"/>
      <c r="E29" s="4" t="s">
        <v>9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84</v>
      </c>
      <c r="C30" s="4" t="s">
        <v>85</v>
      </c>
      <c r="D30" s="3"/>
      <c r="E30" s="4" t="s">
        <v>9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86</v>
      </c>
      <c r="C31" s="4" t="s">
        <v>87</v>
      </c>
      <c r="D31" s="3"/>
      <c r="E31" s="4" t="s">
        <v>9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88</v>
      </c>
      <c r="C32" s="4" t="s">
        <v>89</v>
      </c>
      <c r="D32" s="3"/>
      <c r="E32" s="4" t="s">
        <v>9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 t="s">
        <v>90</v>
      </c>
      <c r="C33" s="4" t="s">
        <v>91</v>
      </c>
      <c r="D33" s="3"/>
      <c r="E33" s="4" t="s">
        <v>9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 t="s">
        <v>92</v>
      </c>
      <c r="C34" s="4" t="s">
        <v>93</v>
      </c>
      <c r="D34" s="3"/>
      <c r="E34" s="4" t="s">
        <v>9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 t="s">
        <v>94</v>
      </c>
      <c r="C35" s="4" t="s">
        <v>95</v>
      </c>
      <c r="D35" s="3"/>
      <c r="E35" s="4" t="s">
        <v>9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 t="s">
        <v>96</v>
      </c>
      <c r="C36" s="4" t="s">
        <v>97</v>
      </c>
      <c r="D36" s="3"/>
      <c r="E36" s="4" t="s">
        <v>9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 t="s">
        <v>98</v>
      </c>
      <c r="C37" s="4" t="s">
        <v>99</v>
      </c>
      <c r="D37" s="3"/>
      <c r="E37" s="4" t="s">
        <v>9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 t="s">
        <v>100</v>
      </c>
      <c r="C38" s="4" t="s">
        <v>101</v>
      </c>
      <c r="D38" s="28">
        <v>240.0</v>
      </c>
      <c r="E38" s="4" t="s">
        <v>9</v>
      </c>
      <c r="F38" s="5" t="s">
        <v>102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 t="s">
        <v>103</v>
      </c>
      <c r="C39" s="4" t="s">
        <v>104</v>
      </c>
      <c r="D39" s="28">
        <v>120.0</v>
      </c>
      <c r="E39" s="4" t="s">
        <v>9</v>
      </c>
      <c r="F39" s="5" t="s">
        <v>105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106</v>
      </c>
      <c r="C40" s="8" t="s">
        <v>107</v>
      </c>
      <c r="D40" s="29">
        <f>SUM(D24:D39)</f>
        <v>360</v>
      </c>
      <c r="E40" s="8" t="s">
        <v>9</v>
      </c>
      <c r="F40" s="24"/>
      <c r="G40" s="25"/>
      <c r="H40" s="1"/>
      <c r="I40" s="1"/>
      <c r="J40" s="22" t="s">
        <v>46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" t="s">
        <v>108</v>
      </c>
      <c r="C41" s="11" t="s">
        <v>109</v>
      </c>
      <c r="D41" s="30">
        <f>D42*8</f>
        <v>28800</v>
      </c>
      <c r="E41" s="11" t="s">
        <v>9</v>
      </c>
      <c r="F41" s="11" t="s">
        <v>110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 t="s">
        <v>111</v>
      </c>
      <c r="C42" s="4" t="s">
        <v>112</v>
      </c>
      <c r="D42" s="28">
        <v>3600.0</v>
      </c>
      <c r="E42" s="4" t="s">
        <v>9</v>
      </c>
      <c r="F42" s="4" t="s">
        <v>113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 t="s">
        <v>114</v>
      </c>
      <c r="C43" s="4" t="s">
        <v>115</v>
      </c>
      <c r="D43" s="19">
        <f>D41-D42</f>
        <v>25200</v>
      </c>
      <c r="E43" s="4" t="s">
        <v>9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 t="s">
        <v>116</v>
      </c>
      <c r="C44" s="4" t="s">
        <v>117</v>
      </c>
      <c r="D44" s="19">
        <f>D43*0.03</f>
        <v>756</v>
      </c>
      <c r="E44" s="4" t="s">
        <v>9</v>
      </c>
      <c r="F44" s="4" t="s">
        <v>118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 t="s">
        <v>119</v>
      </c>
      <c r="C45" s="4" t="s">
        <v>120</v>
      </c>
      <c r="D45" s="19">
        <f>D43-D44</f>
        <v>24444</v>
      </c>
      <c r="E45" s="4" t="s">
        <v>9</v>
      </c>
      <c r="F45" s="4" t="s">
        <v>118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 t="s">
        <v>121</v>
      </c>
      <c r="C46" s="4" t="s">
        <v>122</v>
      </c>
      <c r="D46" s="19">
        <f>D45/D43*100</f>
        <v>97</v>
      </c>
      <c r="E46" s="4" t="s">
        <v>69</v>
      </c>
      <c r="F46" s="4" t="s">
        <v>118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 t="s">
        <v>123</v>
      </c>
      <c r="C47" s="4" t="s">
        <v>124</v>
      </c>
      <c r="D47" s="19">
        <f>D43*0.97</f>
        <v>24444</v>
      </c>
      <c r="E47" s="4" t="s">
        <v>9</v>
      </c>
      <c r="F47" s="4" t="s">
        <v>118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 t="s">
        <v>125</v>
      </c>
      <c r="C48" s="4" t="s">
        <v>126</v>
      </c>
      <c r="D48" s="19">
        <f>D43*0.03</f>
        <v>756</v>
      </c>
      <c r="E48" s="4" t="s">
        <v>9</v>
      </c>
      <c r="F48" s="4" t="s">
        <v>118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 t="s">
        <v>127</v>
      </c>
      <c r="C49" s="4" t="s">
        <v>122</v>
      </c>
      <c r="D49" s="19">
        <f>D47/(D47+D48)</f>
        <v>0.97</v>
      </c>
      <c r="E49" s="4" t="s">
        <v>69</v>
      </c>
      <c r="F49" s="4" t="s">
        <v>118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 t="s">
        <v>128</v>
      </c>
      <c r="C50" s="4" t="s">
        <v>129</v>
      </c>
      <c r="D50" s="31">
        <f>D17*7*0.97</f>
        <v>162787.7378</v>
      </c>
      <c r="E50" s="4" t="s">
        <v>130</v>
      </c>
      <c r="F50" s="32" t="s">
        <v>131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 t="s">
        <v>132</v>
      </c>
      <c r="C51" s="4" t="s">
        <v>133</v>
      </c>
      <c r="D51" s="6">
        <f>D45/D50</f>
        <v>0.1501587302</v>
      </c>
      <c r="E51" s="4" t="s">
        <v>17</v>
      </c>
      <c r="F51" s="5" t="s">
        <v>134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4" t="s">
        <v>135</v>
      </c>
      <c r="C52" s="4" t="s">
        <v>136</v>
      </c>
      <c r="D52" s="17">
        <f>D51*D50/D45</f>
        <v>1</v>
      </c>
      <c r="E52" s="4" t="s">
        <v>11</v>
      </c>
      <c r="F52" s="32" t="s">
        <v>137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4" t="s">
        <v>138</v>
      </c>
      <c r="C53" s="4" t="s">
        <v>139</v>
      </c>
      <c r="D53" s="33">
        <f>MIN(D6/D51,1)</f>
        <v>1</v>
      </c>
      <c r="E53" s="4" t="s">
        <v>11</v>
      </c>
      <c r="F53" s="32" t="s">
        <v>140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 t="s">
        <v>141</v>
      </c>
      <c r="C54" s="4" t="s">
        <v>142</v>
      </c>
      <c r="D54" s="33">
        <f>D52*D53</f>
        <v>1</v>
      </c>
      <c r="E54" s="4" t="s">
        <v>11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 t="s">
        <v>143</v>
      </c>
      <c r="C55" s="4" t="s">
        <v>144</v>
      </c>
      <c r="D55" s="19">
        <f>23000*7*0.03</f>
        <v>4830</v>
      </c>
      <c r="E55" s="3"/>
      <c r="F55" s="5" t="s">
        <v>145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 t="s">
        <v>146</v>
      </c>
      <c r="C56" s="4" t="s">
        <v>147</v>
      </c>
      <c r="D56" s="33">
        <f>(D50-D55)/D50</f>
        <v>0.9703294605</v>
      </c>
      <c r="E56" s="3"/>
      <c r="F56" s="2" t="s">
        <v>148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 t="s">
        <v>149</v>
      </c>
      <c r="C57" s="4" t="s">
        <v>150</v>
      </c>
      <c r="D57" s="33">
        <f>D49*D54*D56</f>
        <v>0.9412195767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151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4" t="s">
        <v>7</v>
      </c>
      <c r="C4" s="4" t="s">
        <v>8</v>
      </c>
      <c r="D4" s="6">
        <v>3600.0</v>
      </c>
      <c r="E4" s="4" t="s">
        <v>9</v>
      </c>
      <c r="F4" s="5" t="s">
        <v>10</v>
      </c>
      <c r="G4" s="5" t="s">
        <v>11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5" t="s">
        <v>12</v>
      </c>
      <c r="C5" s="4" t="s">
        <v>13</v>
      </c>
      <c r="D5" s="34">
        <v>30000.0</v>
      </c>
      <c r="E5" s="4" t="s">
        <v>14</v>
      </c>
      <c r="F5" s="5" t="s">
        <v>10</v>
      </c>
      <c r="G5" s="5" t="s">
        <v>11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7" t="s">
        <v>15</v>
      </c>
      <c r="C6" s="8" t="s">
        <v>16</v>
      </c>
      <c r="D6" s="9">
        <f>D4/D5</f>
        <v>0.12</v>
      </c>
      <c r="E6" s="8" t="s">
        <v>17</v>
      </c>
      <c r="F6" s="7" t="s">
        <v>10</v>
      </c>
      <c r="G6" s="7" t="s">
        <v>18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19</v>
      </c>
      <c r="C7" s="11" t="s">
        <v>20</v>
      </c>
      <c r="D7" s="35">
        <v>0.012</v>
      </c>
      <c r="E7" s="11" t="s">
        <v>9</v>
      </c>
      <c r="F7" s="13" t="s">
        <v>21</v>
      </c>
      <c r="G7" s="14"/>
      <c r="H7" s="15">
        <f>(189.8-172.8)/1440</f>
        <v>0.01180555556</v>
      </c>
      <c r="I7" s="16" t="s">
        <v>22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23</v>
      </c>
      <c r="C8" s="4" t="s">
        <v>24</v>
      </c>
      <c r="D8" s="6">
        <v>0.03</v>
      </c>
      <c r="E8" s="4" t="s">
        <v>9</v>
      </c>
      <c r="F8" s="5" t="s">
        <v>25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26</v>
      </c>
      <c r="C9" s="4" t="s">
        <v>27</v>
      </c>
      <c r="D9" s="6">
        <v>0.0</v>
      </c>
      <c r="E9" s="4" t="s">
        <v>9</v>
      </c>
      <c r="F9" s="5" t="s">
        <v>28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29</v>
      </c>
      <c r="C10" s="4" t="s">
        <v>30</v>
      </c>
      <c r="D10" s="17">
        <f>H7+D8+D9</f>
        <v>0.04180555556</v>
      </c>
      <c r="E10" s="4" t="s">
        <v>9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31</v>
      </c>
      <c r="C11" s="4" t="s">
        <v>32</v>
      </c>
      <c r="D11" s="6">
        <v>1440.0</v>
      </c>
      <c r="E11" s="4" t="s">
        <v>14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33</v>
      </c>
      <c r="C12" s="4" t="s">
        <v>34</v>
      </c>
      <c r="D12" s="6">
        <f>1440/140000*3600</f>
        <v>37.02857143</v>
      </c>
      <c r="E12" s="4" t="s">
        <v>9</v>
      </c>
      <c r="F12" s="3"/>
      <c r="G12" s="3"/>
      <c r="H12" s="5" t="s">
        <v>35</v>
      </c>
      <c r="I12" s="18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36</v>
      </c>
      <c r="C13" s="4" t="s">
        <v>37</v>
      </c>
      <c r="D13" s="17">
        <f>(D12+D11*D10)/60</f>
        <v>1.62047619</v>
      </c>
      <c r="E13" s="4" t="s">
        <v>38</v>
      </c>
      <c r="F13" s="3"/>
      <c r="G13" s="4" t="s">
        <v>39</v>
      </c>
      <c r="H13" s="19">
        <f>20000/1440</f>
        <v>13.88888889</v>
      </c>
      <c r="I13" s="20">
        <f>D13*H13</f>
        <v>22.50661376</v>
      </c>
      <c r="J13" s="21" t="s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41</v>
      </c>
      <c r="C14" s="4" t="s">
        <v>42</v>
      </c>
      <c r="D14" s="6">
        <f>0.01*1440</f>
        <v>14.4</v>
      </c>
      <c r="E14" s="4" t="s">
        <v>9</v>
      </c>
      <c r="F14" s="5" t="s">
        <v>43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44</v>
      </c>
      <c r="C15" s="8" t="s">
        <v>45</v>
      </c>
      <c r="D15" s="9">
        <f>(D14+D13*60)/60</f>
        <v>1.86047619</v>
      </c>
      <c r="E15" s="8" t="s">
        <v>38</v>
      </c>
      <c r="F15" s="10"/>
      <c r="G15" s="10"/>
      <c r="H15" s="10"/>
      <c r="I15" s="1"/>
      <c r="J15" s="22" t="s">
        <v>46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47</v>
      </c>
      <c r="C16" s="11" t="s">
        <v>48</v>
      </c>
      <c r="D16" s="23">
        <f>D13*60/D11</f>
        <v>0.06751984127</v>
      </c>
      <c r="E16" s="11" t="s">
        <v>9</v>
      </c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49</v>
      </c>
      <c r="C17" s="8" t="s">
        <v>50</v>
      </c>
      <c r="D17" s="9">
        <f>3600/D16</f>
        <v>53317.66089</v>
      </c>
      <c r="E17" s="8" t="s">
        <v>51</v>
      </c>
      <c r="F17" s="24"/>
      <c r="G17" s="25"/>
      <c r="H17" s="1"/>
      <c r="I17" s="1"/>
      <c r="J17" s="22" t="s">
        <v>46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52</v>
      </c>
      <c r="C18" s="11" t="s">
        <v>53</v>
      </c>
      <c r="D18" s="35">
        <v>1.0</v>
      </c>
      <c r="E18" s="11" t="s">
        <v>54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56</v>
      </c>
      <c r="C19" s="4" t="s">
        <v>57</v>
      </c>
      <c r="D19" s="17">
        <f>7*3</f>
        <v>21</v>
      </c>
      <c r="E19" s="4" t="s">
        <v>58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59</v>
      </c>
      <c r="C20" s="4" t="s">
        <v>60</v>
      </c>
      <c r="D20" s="6">
        <v>7.0</v>
      </c>
      <c r="E20" s="4" t="s">
        <v>61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62</v>
      </c>
      <c r="C21" s="8" t="s">
        <v>63</v>
      </c>
      <c r="D21" s="27">
        <f>D18*D19*D20*D17</f>
        <v>7837696.15</v>
      </c>
      <c r="E21" s="8" t="s">
        <v>64</v>
      </c>
      <c r="F21" s="24"/>
      <c r="G21" s="25"/>
      <c r="H21" s="1"/>
      <c r="I21" s="1"/>
      <c r="J21" s="22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65</v>
      </c>
      <c r="C22" s="11" t="s">
        <v>32</v>
      </c>
      <c r="D22" s="15">
        <f>D5*D18*D19*D20</f>
        <v>4410000</v>
      </c>
      <c r="E22" s="11" t="s">
        <v>64</v>
      </c>
      <c r="F22" s="1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5" t="s">
        <v>67</v>
      </c>
      <c r="C23" s="4" t="s">
        <v>68</v>
      </c>
      <c r="D23" s="28">
        <f>D22/D21*100</f>
        <v>56.26653439</v>
      </c>
      <c r="E23" s="4" t="s">
        <v>69</v>
      </c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71</v>
      </c>
      <c r="C24" s="4" t="s">
        <v>72</v>
      </c>
      <c r="D24" s="2" t="s">
        <v>73</v>
      </c>
      <c r="E24" s="4" t="s">
        <v>9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74</v>
      </c>
      <c r="C25" s="4" t="s">
        <v>75</v>
      </c>
      <c r="D25" s="3"/>
      <c r="E25" s="4" t="s">
        <v>9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 t="s">
        <v>76</v>
      </c>
      <c r="C26" s="4" t="s">
        <v>77</v>
      </c>
      <c r="D26" s="3"/>
      <c r="E26" s="4" t="s">
        <v>9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 t="s">
        <v>78</v>
      </c>
      <c r="C27" s="4" t="s">
        <v>79</v>
      </c>
      <c r="D27" s="3"/>
      <c r="E27" s="4" t="s">
        <v>9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80</v>
      </c>
      <c r="C28" s="4" t="s">
        <v>81</v>
      </c>
      <c r="D28" s="3"/>
      <c r="E28" s="4" t="s">
        <v>9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 t="s">
        <v>82</v>
      </c>
      <c r="C29" s="4" t="s">
        <v>83</v>
      </c>
      <c r="D29" s="3"/>
      <c r="E29" s="4" t="s">
        <v>9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84</v>
      </c>
      <c r="C30" s="4" t="s">
        <v>85</v>
      </c>
      <c r="D30" s="3"/>
      <c r="E30" s="4" t="s">
        <v>9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86</v>
      </c>
      <c r="C31" s="4" t="s">
        <v>87</v>
      </c>
      <c r="D31" s="3"/>
      <c r="E31" s="4" t="s">
        <v>9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88</v>
      </c>
      <c r="C32" s="4" t="s">
        <v>89</v>
      </c>
      <c r="D32" s="3"/>
      <c r="E32" s="4" t="s">
        <v>9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 t="s">
        <v>90</v>
      </c>
      <c r="C33" s="4" t="s">
        <v>91</v>
      </c>
      <c r="D33" s="3"/>
      <c r="E33" s="4" t="s">
        <v>9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 t="s">
        <v>92</v>
      </c>
      <c r="C34" s="4" t="s">
        <v>93</v>
      </c>
      <c r="D34" s="3"/>
      <c r="E34" s="4" t="s">
        <v>9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 t="s">
        <v>94</v>
      </c>
      <c r="C35" s="4" t="s">
        <v>95</v>
      </c>
      <c r="D35" s="3"/>
      <c r="E35" s="4" t="s">
        <v>9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 t="s">
        <v>96</v>
      </c>
      <c r="C36" s="4" t="s">
        <v>97</v>
      </c>
      <c r="D36" s="3"/>
      <c r="E36" s="4" t="s">
        <v>9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 t="s">
        <v>98</v>
      </c>
      <c r="C37" s="4" t="s">
        <v>99</v>
      </c>
      <c r="D37" s="3"/>
      <c r="E37" s="4" t="s">
        <v>9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 t="s">
        <v>100</v>
      </c>
      <c r="C38" s="4" t="s">
        <v>101</v>
      </c>
      <c r="D38" s="28">
        <v>240.0</v>
      </c>
      <c r="E38" s="4" t="s">
        <v>9</v>
      </c>
      <c r="F38" s="5" t="s">
        <v>102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 t="s">
        <v>103</v>
      </c>
      <c r="C39" s="4" t="s">
        <v>104</v>
      </c>
      <c r="D39" s="28">
        <v>120.0</v>
      </c>
      <c r="E39" s="4" t="s">
        <v>9</v>
      </c>
      <c r="F39" s="5" t="s">
        <v>105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106</v>
      </c>
      <c r="C40" s="8" t="s">
        <v>107</v>
      </c>
      <c r="D40" s="29">
        <f>SUM(D24:D39)</f>
        <v>360</v>
      </c>
      <c r="E40" s="8" t="s">
        <v>9</v>
      </c>
      <c r="F40" s="24"/>
      <c r="G40" s="25"/>
      <c r="H40" s="1"/>
      <c r="I40" s="1"/>
      <c r="J40" s="22" t="s">
        <v>46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" t="s">
        <v>108</v>
      </c>
      <c r="C41" s="11" t="s">
        <v>109</v>
      </c>
      <c r="D41" s="30">
        <f>D42*8</f>
        <v>28800</v>
      </c>
      <c r="E41" s="11" t="s">
        <v>9</v>
      </c>
      <c r="F41" s="11" t="s">
        <v>110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 t="s">
        <v>111</v>
      </c>
      <c r="C42" s="4" t="s">
        <v>112</v>
      </c>
      <c r="D42" s="28">
        <v>3600.0</v>
      </c>
      <c r="E42" s="4" t="s">
        <v>9</v>
      </c>
      <c r="F42" s="4" t="s">
        <v>113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 t="s">
        <v>114</v>
      </c>
      <c r="C43" s="4" t="s">
        <v>115</v>
      </c>
      <c r="D43" s="19">
        <f>D41-D42</f>
        <v>25200</v>
      </c>
      <c r="E43" s="4" t="s">
        <v>9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 t="s">
        <v>116</v>
      </c>
      <c r="C44" s="4" t="s">
        <v>117</v>
      </c>
      <c r="D44" s="19">
        <f>D43*0.03</f>
        <v>756</v>
      </c>
      <c r="E44" s="4" t="s">
        <v>9</v>
      </c>
      <c r="F44" s="4" t="s">
        <v>118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 t="s">
        <v>119</v>
      </c>
      <c r="C45" s="4" t="s">
        <v>120</v>
      </c>
      <c r="D45" s="19">
        <f>D43-D44</f>
        <v>24444</v>
      </c>
      <c r="E45" s="4" t="s">
        <v>9</v>
      </c>
      <c r="F45" s="4" t="s">
        <v>118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 t="s">
        <v>121</v>
      </c>
      <c r="C46" s="4" t="s">
        <v>122</v>
      </c>
      <c r="D46" s="19">
        <f>D45/D43*100</f>
        <v>97</v>
      </c>
      <c r="E46" s="4" t="s">
        <v>69</v>
      </c>
      <c r="F46" s="4" t="s">
        <v>118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 t="s">
        <v>123</v>
      </c>
      <c r="C47" s="4" t="s">
        <v>124</v>
      </c>
      <c r="D47" s="19">
        <f>D43*0.97</f>
        <v>24444</v>
      </c>
      <c r="E47" s="4" t="s">
        <v>9</v>
      </c>
      <c r="F47" s="4" t="s">
        <v>118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 t="s">
        <v>125</v>
      </c>
      <c r="C48" s="4" t="s">
        <v>126</v>
      </c>
      <c r="D48" s="19">
        <f>D43*0.03</f>
        <v>756</v>
      </c>
      <c r="E48" s="4" t="s">
        <v>9</v>
      </c>
      <c r="F48" s="4" t="s">
        <v>118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 t="s">
        <v>127</v>
      </c>
      <c r="C49" s="4" t="s">
        <v>122</v>
      </c>
      <c r="D49" s="19">
        <f>D47/(D47+D48)</f>
        <v>0.97</v>
      </c>
      <c r="E49" s="4" t="s">
        <v>69</v>
      </c>
      <c r="F49" s="4" t="s">
        <v>118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 t="s">
        <v>128</v>
      </c>
      <c r="C50" s="4" t="s">
        <v>129</v>
      </c>
      <c r="D50" s="31">
        <f>D17*7*0.97</f>
        <v>362026.9174</v>
      </c>
      <c r="E50" s="4" t="s">
        <v>130</v>
      </c>
      <c r="F50" s="32" t="s">
        <v>131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 t="s">
        <v>132</v>
      </c>
      <c r="C51" s="4" t="s">
        <v>133</v>
      </c>
      <c r="D51" s="6">
        <f>D45/D50</f>
        <v>0.06751984127</v>
      </c>
      <c r="E51" s="4" t="s">
        <v>17</v>
      </c>
      <c r="F51" s="5" t="s">
        <v>134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4" t="s">
        <v>135</v>
      </c>
      <c r="C52" s="4" t="s">
        <v>136</v>
      </c>
      <c r="D52" s="17">
        <f>D51*D50/D45</f>
        <v>1</v>
      </c>
      <c r="E52" s="4" t="s">
        <v>11</v>
      </c>
      <c r="F52" s="32" t="s">
        <v>137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4" t="s">
        <v>138</v>
      </c>
      <c r="C53" s="4" t="s">
        <v>139</v>
      </c>
      <c r="D53" s="33">
        <f>MIN(D6/D51,1)</f>
        <v>1</v>
      </c>
      <c r="E53" s="4" t="s">
        <v>11</v>
      </c>
      <c r="F53" s="32" t="s">
        <v>140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 t="s">
        <v>141</v>
      </c>
      <c r="C54" s="4" t="s">
        <v>142</v>
      </c>
      <c r="D54" s="33">
        <f>D52*D53</f>
        <v>1</v>
      </c>
      <c r="E54" s="4" t="s">
        <v>11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 t="s">
        <v>143</v>
      </c>
      <c r="C55" s="4" t="s">
        <v>144</v>
      </c>
      <c r="D55" s="19">
        <f>23000*7*0.03</f>
        <v>4830</v>
      </c>
      <c r="E55" s="3"/>
      <c r="F55" s="5" t="s">
        <v>145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 t="s">
        <v>146</v>
      </c>
      <c r="C56" s="4" t="s">
        <v>147</v>
      </c>
      <c r="D56" s="33">
        <f>(D50-D55)/D50</f>
        <v>0.9866584506</v>
      </c>
      <c r="E56" s="3"/>
      <c r="F56" s="2" t="s">
        <v>148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 t="s">
        <v>149</v>
      </c>
      <c r="C57" s="4" t="s">
        <v>150</v>
      </c>
      <c r="D57" s="33">
        <f>D49*D54*D56</f>
        <v>0.9570586971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152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7" t="s">
        <v>6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4" t="s">
        <v>7</v>
      </c>
      <c r="C4" s="4" t="s">
        <v>8</v>
      </c>
      <c r="D4" s="6">
        <v>3600.0</v>
      </c>
      <c r="E4" s="4" t="s">
        <v>9</v>
      </c>
      <c r="F4" s="5" t="s">
        <v>10</v>
      </c>
      <c r="G4" s="5" t="s">
        <v>11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5" t="s">
        <v>12</v>
      </c>
      <c r="C5" s="4" t="s">
        <v>13</v>
      </c>
      <c r="D5" s="34">
        <v>15000.0</v>
      </c>
      <c r="E5" s="4" t="s">
        <v>14</v>
      </c>
      <c r="F5" s="5" t="s">
        <v>10</v>
      </c>
      <c r="G5" s="5" t="s">
        <v>11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7" t="s">
        <v>15</v>
      </c>
      <c r="C6" s="8" t="s">
        <v>16</v>
      </c>
      <c r="D6" s="9">
        <f>D4/D5</f>
        <v>0.24</v>
      </c>
      <c r="E6" s="8" t="s">
        <v>17</v>
      </c>
      <c r="F6" s="7" t="s">
        <v>10</v>
      </c>
      <c r="G6" s="7" t="s">
        <v>18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19</v>
      </c>
      <c r="C7" s="11" t="s">
        <v>20</v>
      </c>
      <c r="D7" s="35">
        <v>0.0390625</v>
      </c>
      <c r="E7" s="11" t="s">
        <v>9</v>
      </c>
      <c r="F7" s="13" t="s">
        <v>21</v>
      </c>
      <c r="G7" s="14"/>
      <c r="H7" s="15">
        <f>(175-150)/640</f>
        <v>0.0390625</v>
      </c>
      <c r="I7" s="16" t="s">
        <v>22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23</v>
      </c>
      <c r="C8" s="4" t="s">
        <v>24</v>
      </c>
      <c r="D8" s="6">
        <v>0.03</v>
      </c>
      <c r="E8" s="4" t="s">
        <v>9</v>
      </c>
      <c r="F8" s="5" t="s">
        <v>25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26</v>
      </c>
      <c r="C9" s="4" t="s">
        <v>27</v>
      </c>
      <c r="D9" s="6">
        <v>0.0</v>
      </c>
      <c r="E9" s="4" t="s">
        <v>9</v>
      </c>
      <c r="F9" s="5" t="s">
        <v>28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29</v>
      </c>
      <c r="C10" s="4" t="s">
        <v>30</v>
      </c>
      <c r="D10" s="17">
        <f>H7+D8+D9</f>
        <v>0.0690625</v>
      </c>
      <c r="E10" s="4" t="s">
        <v>9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31</v>
      </c>
      <c r="C11" s="4" t="s">
        <v>32</v>
      </c>
      <c r="D11" s="34">
        <v>640.0</v>
      </c>
      <c r="E11" s="4" t="s">
        <v>14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33</v>
      </c>
      <c r="C12" s="4" t="s">
        <v>34</v>
      </c>
      <c r="D12" s="6">
        <f>640/140000*3600</f>
        <v>16.45714286</v>
      </c>
      <c r="E12" s="4" t="s">
        <v>9</v>
      </c>
      <c r="F12" s="3"/>
      <c r="G12" s="3"/>
      <c r="H12" s="5" t="s">
        <v>35</v>
      </c>
      <c r="I12" s="18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36</v>
      </c>
      <c r="C13" s="4" t="s">
        <v>37</v>
      </c>
      <c r="D13" s="17">
        <f>(D12+D11*D10)/60</f>
        <v>1.010952381</v>
      </c>
      <c r="E13" s="4" t="s">
        <v>38</v>
      </c>
      <c r="F13" s="3"/>
      <c r="G13" s="4" t="s">
        <v>39</v>
      </c>
      <c r="H13" s="19">
        <f>15000/640</f>
        <v>23.4375</v>
      </c>
      <c r="I13" s="20">
        <f>D13*H13</f>
        <v>23.69419643</v>
      </c>
      <c r="J13" s="21" t="s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41</v>
      </c>
      <c r="C14" s="4" t="s">
        <v>42</v>
      </c>
      <c r="D14" s="6">
        <f>0.01*640</f>
        <v>6.4</v>
      </c>
      <c r="E14" s="4" t="s">
        <v>9</v>
      </c>
      <c r="F14" s="5" t="s">
        <v>43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44</v>
      </c>
      <c r="C15" s="8" t="s">
        <v>45</v>
      </c>
      <c r="D15" s="9">
        <f>(D14+D13*60)/60</f>
        <v>1.117619048</v>
      </c>
      <c r="E15" s="8" t="s">
        <v>38</v>
      </c>
      <c r="F15" s="10"/>
      <c r="G15" s="10"/>
      <c r="H15" s="10"/>
      <c r="I15" s="1"/>
      <c r="J15" s="22" t="s">
        <v>46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47</v>
      </c>
      <c r="C16" s="11" t="s">
        <v>48</v>
      </c>
      <c r="D16" s="23">
        <f>D13*60/D11</f>
        <v>0.09477678571</v>
      </c>
      <c r="E16" s="11" t="s">
        <v>9</v>
      </c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49</v>
      </c>
      <c r="C17" s="8" t="s">
        <v>50</v>
      </c>
      <c r="D17" s="9">
        <f>3600/D16</f>
        <v>37983.98493</v>
      </c>
      <c r="E17" s="8" t="s">
        <v>51</v>
      </c>
      <c r="F17" s="24"/>
      <c r="G17" s="25"/>
      <c r="H17" s="1"/>
      <c r="I17" s="1"/>
      <c r="J17" s="22" t="s">
        <v>46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52</v>
      </c>
      <c r="C18" s="11" t="s">
        <v>53</v>
      </c>
      <c r="D18" s="12">
        <v>2.0</v>
      </c>
      <c r="E18" s="11" t="s">
        <v>54</v>
      </c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 t="s">
        <v>56</v>
      </c>
      <c r="C19" s="4" t="s">
        <v>57</v>
      </c>
      <c r="D19" s="17">
        <f>7*3</f>
        <v>21</v>
      </c>
      <c r="E19" s="4" t="s">
        <v>58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59</v>
      </c>
      <c r="C20" s="4" t="s">
        <v>60</v>
      </c>
      <c r="D20" s="6">
        <v>7.0</v>
      </c>
      <c r="E20" s="4" t="s">
        <v>61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62</v>
      </c>
      <c r="C21" s="8" t="s">
        <v>63</v>
      </c>
      <c r="D21" s="27">
        <f>D18*D19*D20*D17</f>
        <v>11167291.57</v>
      </c>
      <c r="E21" s="8" t="s">
        <v>64</v>
      </c>
      <c r="F21" s="24"/>
      <c r="G21" s="25"/>
      <c r="H21" s="1"/>
      <c r="I21" s="1"/>
      <c r="J21" s="22" t="s">
        <v>46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65</v>
      </c>
      <c r="C22" s="11" t="s">
        <v>32</v>
      </c>
      <c r="D22" s="15">
        <f>D5*D18*D19*D20</f>
        <v>4410000</v>
      </c>
      <c r="E22" s="11" t="s">
        <v>64</v>
      </c>
      <c r="F22" s="1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5" t="s">
        <v>67</v>
      </c>
      <c r="C23" s="4" t="s">
        <v>68</v>
      </c>
      <c r="D23" s="28">
        <f>D22/D21*100</f>
        <v>39.49032738</v>
      </c>
      <c r="E23" s="4" t="s">
        <v>69</v>
      </c>
      <c r="F23" s="4" t="s">
        <v>70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71</v>
      </c>
      <c r="C24" s="4" t="s">
        <v>72</v>
      </c>
      <c r="D24" s="2" t="s">
        <v>73</v>
      </c>
      <c r="E24" s="4" t="s">
        <v>9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74</v>
      </c>
      <c r="C25" s="4" t="s">
        <v>75</v>
      </c>
      <c r="D25" s="3"/>
      <c r="E25" s="4" t="s">
        <v>9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 t="s">
        <v>76</v>
      </c>
      <c r="C26" s="4" t="s">
        <v>77</v>
      </c>
      <c r="D26" s="3"/>
      <c r="E26" s="4" t="s">
        <v>9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 t="s">
        <v>78</v>
      </c>
      <c r="C27" s="4" t="s">
        <v>79</v>
      </c>
      <c r="D27" s="3"/>
      <c r="E27" s="4" t="s">
        <v>9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80</v>
      </c>
      <c r="C28" s="4" t="s">
        <v>81</v>
      </c>
      <c r="D28" s="3"/>
      <c r="E28" s="4" t="s">
        <v>9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 t="s">
        <v>82</v>
      </c>
      <c r="C29" s="4" t="s">
        <v>83</v>
      </c>
      <c r="D29" s="3"/>
      <c r="E29" s="4" t="s">
        <v>9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84</v>
      </c>
      <c r="C30" s="4" t="s">
        <v>85</v>
      </c>
      <c r="D30" s="3"/>
      <c r="E30" s="4" t="s">
        <v>9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86</v>
      </c>
      <c r="C31" s="4" t="s">
        <v>87</v>
      </c>
      <c r="D31" s="3"/>
      <c r="E31" s="4" t="s">
        <v>9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 t="s">
        <v>88</v>
      </c>
      <c r="C32" s="4" t="s">
        <v>89</v>
      </c>
      <c r="D32" s="3"/>
      <c r="E32" s="4" t="s">
        <v>9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 t="s">
        <v>90</v>
      </c>
      <c r="C33" s="4" t="s">
        <v>91</v>
      </c>
      <c r="D33" s="3"/>
      <c r="E33" s="4" t="s">
        <v>9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 t="s">
        <v>92</v>
      </c>
      <c r="C34" s="4" t="s">
        <v>93</v>
      </c>
      <c r="D34" s="3"/>
      <c r="E34" s="4" t="s">
        <v>9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 t="s">
        <v>94</v>
      </c>
      <c r="C35" s="4" t="s">
        <v>95</v>
      </c>
      <c r="D35" s="3"/>
      <c r="E35" s="4" t="s">
        <v>9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 t="s">
        <v>96</v>
      </c>
      <c r="C36" s="4" t="s">
        <v>97</v>
      </c>
      <c r="D36" s="3"/>
      <c r="E36" s="4" t="s">
        <v>9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 t="s">
        <v>98</v>
      </c>
      <c r="C37" s="4" t="s">
        <v>99</v>
      </c>
      <c r="D37" s="3"/>
      <c r="E37" s="4" t="s">
        <v>9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 t="s">
        <v>100</v>
      </c>
      <c r="C38" s="4" t="s">
        <v>101</v>
      </c>
      <c r="D38" s="28">
        <v>240.0</v>
      </c>
      <c r="E38" s="4" t="s">
        <v>9</v>
      </c>
      <c r="F38" s="5" t="s">
        <v>102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 t="s">
        <v>103</v>
      </c>
      <c r="C39" s="4" t="s">
        <v>104</v>
      </c>
      <c r="D39" s="28">
        <v>120.0</v>
      </c>
      <c r="E39" s="4" t="s">
        <v>9</v>
      </c>
      <c r="F39" s="5" t="s">
        <v>105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106</v>
      </c>
      <c r="C40" s="8" t="s">
        <v>107</v>
      </c>
      <c r="D40" s="29">
        <f>SUM(D24:D39)</f>
        <v>360</v>
      </c>
      <c r="E40" s="8" t="s">
        <v>9</v>
      </c>
      <c r="F40" s="24"/>
      <c r="G40" s="25"/>
      <c r="H40" s="1"/>
      <c r="I40" s="1"/>
      <c r="J40" s="22" t="s">
        <v>46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" t="s">
        <v>108</v>
      </c>
      <c r="C41" s="11" t="s">
        <v>109</v>
      </c>
      <c r="D41" s="30">
        <f>D42*8</f>
        <v>28800</v>
      </c>
      <c r="E41" s="11" t="s">
        <v>9</v>
      </c>
      <c r="F41" s="11" t="s">
        <v>110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 t="s">
        <v>111</v>
      </c>
      <c r="C42" s="4" t="s">
        <v>112</v>
      </c>
      <c r="D42" s="28">
        <v>3600.0</v>
      </c>
      <c r="E42" s="4" t="s">
        <v>9</v>
      </c>
      <c r="F42" s="4" t="s">
        <v>113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 t="s">
        <v>114</v>
      </c>
      <c r="C43" s="4" t="s">
        <v>115</v>
      </c>
      <c r="D43" s="19">
        <f>D41-D42</f>
        <v>25200</v>
      </c>
      <c r="E43" s="4" t="s">
        <v>9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 t="s">
        <v>116</v>
      </c>
      <c r="C44" s="4" t="s">
        <v>117</v>
      </c>
      <c r="D44" s="19">
        <f>D43*0.03</f>
        <v>756</v>
      </c>
      <c r="E44" s="4" t="s">
        <v>9</v>
      </c>
      <c r="F44" s="4" t="s">
        <v>118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 t="s">
        <v>119</v>
      </c>
      <c r="C45" s="4" t="s">
        <v>120</v>
      </c>
      <c r="D45" s="19">
        <f>D43-D44</f>
        <v>24444</v>
      </c>
      <c r="E45" s="4" t="s">
        <v>9</v>
      </c>
      <c r="F45" s="4" t="s">
        <v>118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 t="s">
        <v>121</v>
      </c>
      <c r="C46" s="4" t="s">
        <v>122</v>
      </c>
      <c r="D46" s="19">
        <f>D45/D43*100</f>
        <v>97</v>
      </c>
      <c r="E46" s="4" t="s">
        <v>69</v>
      </c>
      <c r="F46" s="4" t="s">
        <v>118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 t="s">
        <v>123</v>
      </c>
      <c r="C47" s="4" t="s">
        <v>124</v>
      </c>
      <c r="D47" s="19">
        <f>D43*0.97</f>
        <v>24444</v>
      </c>
      <c r="E47" s="4" t="s">
        <v>9</v>
      </c>
      <c r="F47" s="4" t="s">
        <v>118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 t="s">
        <v>125</v>
      </c>
      <c r="C48" s="4" t="s">
        <v>126</v>
      </c>
      <c r="D48" s="19">
        <f>D43*0.03</f>
        <v>756</v>
      </c>
      <c r="E48" s="4" t="s">
        <v>9</v>
      </c>
      <c r="F48" s="4" t="s">
        <v>118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 t="s">
        <v>127</v>
      </c>
      <c r="C49" s="4" t="s">
        <v>122</v>
      </c>
      <c r="D49" s="19">
        <f>D47/(D47+D48)</f>
        <v>0.97</v>
      </c>
      <c r="E49" s="4" t="s">
        <v>69</v>
      </c>
      <c r="F49" s="4" t="s">
        <v>118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 t="s">
        <v>128</v>
      </c>
      <c r="C50" s="4" t="s">
        <v>129</v>
      </c>
      <c r="D50" s="31">
        <f>D17*7*0.97</f>
        <v>257911.2577</v>
      </c>
      <c r="E50" s="4" t="s">
        <v>130</v>
      </c>
      <c r="F50" s="32" t="s">
        <v>131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 t="s">
        <v>132</v>
      </c>
      <c r="C51" s="4" t="s">
        <v>133</v>
      </c>
      <c r="D51" s="6">
        <f>D45/D50</f>
        <v>0.09477678571</v>
      </c>
      <c r="E51" s="4" t="s">
        <v>17</v>
      </c>
      <c r="F51" s="5" t="s">
        <v>134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4" t="s">
        <v>135</v>
      </c>
      <c r="C52" s="4" t="s">
        <v>136</v>
      </c>
      <c r="D52" s="17">
        <f>D51*D50/D45</f>
        <v>1</v>
      </c>
      <c r="E52" s="4" t="s">
        <v>11</v>
      </c>
      <c r="F52" s="32" t="s">
        <v>137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4" t="s">
        <v>138</v>
      </c>
      <c r="C53" s="4" t="s">
        <v>139</v>
      </c>
      <c r="D53" s="33">
        <f>MIN(D6/D51,1)</f>
        <v>1</v>
      </c>
      <c r="E53" s="4" t="s">
        <v>11</v>
      </c>
      <c r="F53" s="32" t="s">
        <v>140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 t="s">
        <v>141</v>
      </c>
      <c r="C54" s="4" t="s">
        <v>142</v>
      </c>
      <c r="D54" s="33">
        <f>D52*D53</f>
        <v>1</v>
      </c>
      <c r="E54" s="4" t="s">
        <v>11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 t="s">
        <v>143</v>
      </c>
      <c r="C55" s="4" t="s">
        <v>144</v>
      </c>
      <c r="D55" s="19">
        <f>23000*7*0.03</f>
        <v>4830</v>
      </c>
      <c r="E55" s="3"/>
      <c r="F55" s="5" t="s">
        <v>145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 t="s">
        <v>146</v>
      </c>
      <c r="C56" s="4" t="s">
        <v>147</v>
      </c>
      <c r="D56" s="33">
        <f>(D50-D55)/D50</f>
        <v>0.9812726283</v>
      </c>
      <c r="E56" s="3"/>
      <c r="F56" s="2" t="s">
        <v>148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 t="s">
        <v>149</v>
      </c>
      <c r="C57" s="4" t="s">
        <v>150</v>
      </c>
      <c r="D57" s="33">
        <f>D49*D54*D56</f>
        <v>0.9518344494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