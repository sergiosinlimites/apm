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caCola Retornable" sheetId="1" r:id="rId5"/>
    <sheet state="visible" name="Monster" sheetId="2" r:id="rId6"/>
    <sheet state="visible" name="Agua Embotellada" sheetId="3" r:id="rId7"/>
  </sheets>
  <definedNames/>
  <calcPr/>
</workbook>
</file>

<file path=xl/sharedStrings.xml><?xml version="1.0" encoding="utf-8"?>
<sst xmlns="http://schemas.openxmlformats.org/spreadsheetml/2006/main" count="604" uniqueCount="153">
  <si>
    <t>Cálculos indicadores para Coca-cola retornable</t>
  </si>
  <si>
    <t>Indicador</t>
  </si>
  <si>
    <t>Siglas</t>
  </si>
  <si>
    <t>Valor</t>
  </si>
  <si>
    <t>Unidad</t>
  </si>
  <si>
    <t>Análisis</t>
  </si>
  <si>
    <t>Fórmula</t>
  </si>
  <si>
    <t>Tiempo netro de trabajo disponible</t>
  </si>
  <si>
    <t>T_D</t>
  </si>
  <si>
    <t>s</t>
  </si>
  <si>
    <t>Valor tomado de Coca Cola a partir de su producción mínima por hora.</t>
  </si>
  <si>
    <t>-</t>
  </si>
  <si>
    <t>Demanda mínima</t>
  </si>
  <si>
    <t>D</t>
  </si>
  <si>
    <t>botella</t>
  </si>
  <si>
    <t>Takt time</t>
  </si>
  <si>
    <t>Takt</t>
  </si>
  <si>
    <t>s / botella</t>
  </si>
  <si>
    <t>T_D / D</t>
  </si>
  <si>
    <t>Tiempo de operación total (procesos)</t>
  </si>
  <si>
    <t>T_o_total</t>
  </si>
  <si>
    <t>Valor tomado de acuerdo a VSM (para una botella desde el lavado hasta el embalaje)</t>
  </si>
  <si>
    <t>Si hubieran 1440 botellas en linea y se hicieran durante los 136 segundos (dan los cálculos para la producción)</t>
  </si>
  <si>
    <t>Tiempo de manipulación de la parte total</t>
  </si>
  <si>
    <t>T_h_total</t>
  </si>
  <si>
    <t>Valor tomado principalmente de desplazamientos (para una botella desde el lavado hasta el almacenamiento)</t>
  </si>
  <si>
    <t>Tiempo de manipulación de la herramienta total</t>
  </si>
  <si>
    <t>T_th_total</t>
  </si>
  <si>
    <t>Valor tomado de preparación para una producción de 8 horas con cambio de bebida</t>
  </si>
  <si>
    <t>Tiempo de ciclo de una botella</t>
  </si>
  <si>
    <t>T_C</t>
  </si>
  <si>
    <t>Tamaño de lote</t>
  </si>
  <si>
    <t>Q</t>
  </si>
  <si>
    <t>Tiempo de alistamiento de un lote</t>
  </si>
  <si>
    <t>T_su</t>
  </si>
  <si>
    <t>Si se toman 1h por cada 8h de trabajo, y en esas 7h restantes producen minimo 140.000 botellas, para 1440 botellas sería...</t>
  </si>
  <si>
    <t>Tiempo de producción de un lote</t>
  </si>
  <si>
    <t>T_b</t>
  </si>
  <si>
    <t>min</t>
  </si>
  <si>
    <t>cantidad de lotes requerida</t>
  </si>
  <si>
    <t>&lt; 3600</t>
  </si>
  <si>
    <t>Tiempo no operativo de un lote</t>
  </si>
  <si>
    <t>T_no</t>
  </si>
  <si>
    <t>Estimado mientras se mantengan botellas seguidas siempre, ya que solo se cuenta el tiempo en que la primera botella llega al final de la línea (por cada 8 horas), de ahí en adelante todas las botellas van de seguido y el tiempo entre cada una es mínimo (distancia minima). Todo esto bajo supuestos de errores infimos</t>
  </si>
  <si>
    <t>Tiempo total de fabricación de un lote</t>
  </si>
  <si>
    <t>T_no + T_b</t>
  </si>
  <si>
    <t>,</t>
  </si>
  <si>
    <t>Tiempo de producción por unidad</t>
  </si>
  <si>
    <t>T_p</t>
  </si>
  <si>
    <t>Tasa de producción</t>
  </si>
  <si>
    <t>R_p</t>
  </si>
  <si>
    <t>botella / hora</t>
  </si>
  <si>
    <t>Número de estaciones</t>
  </si>
  <si>
    <t>n</t>
  </si>
  <si>
    <t>estaciones</t>
  </si>
  <si>
    <t>Número de turnos por periodo</t>
  </si>
  <si>
    <t>S</t>
  </si>
  <si>
    <t>turnos / semana</t>
  </si>
  <si>
    <t>Número de horas por turno</t>
  </si>
  <si>
    <t>H</t>
  </si>
  <si>
    <t>horas</t>
  </si>
  <si>
    <t xml:space="preserve">Capacidad de producción </t>
  </si>
  <si>
    <t>PC</t>
  </si>
  <si>
    <t>botellas / semana</t>
  </si>
  <si>
    <t>Cantidad realmente producida por la fabrica</t>
  </si>
  <si>
    <t>Cambiar de acuerdo a lo que haga la fabrica</t>
  </si>
  <si>
    <t>Utilización: Fracción en la que se está usando la planta de producción con relación a la capacidad</t>
  </si>
  <si>
    <t>U</t>
  </si>
  <si>
    <t>%</t>
  </si>
  <si>
    <t>Lavado tiempo de operación</t>
  </si>
  <si>
    <t>Tc1</t>
  </si>
  <si>
    <t>Lavado tiempo de no operación (después de terminar la operación)</t>
  </si>
  <si>
    <t>Tno1</t>
  </si>
  <si>
    <t>Llenado tiempo de operación</t>
  </si>
  <si>
    <t>Tc2</t>
  </si>
  <si>
    <t>Llenado tiempo de no operación (después de terminar la operación)</t>
  </si>
  <si>
    <t>Tno2</t>
  </si>
  <si>
    <t>Sellado tiempo de operación</t>
  </si>
  <si>
    <t>Tc3</t>
  </si>
  <si>
    <t>Sellado tiempo de no operación (después de terminar la operación)</t>
  </si>
  <si>
    <t>Tno3</t>
  </si>
  <si>
    <t>Etiquetado tiempo de operación</t>
  </si>
  <si>
    <t>Tc4</t>
  </si>
  <si>
    <t>Etiquetado tiempo de no operación (después de terminar la operación)</t>
  </si>
  <si>
    <t>Tno4</t>
  </si>
  <si>
    <t>Empaque tiempo de operación</t>
  </si>
  <si>
    <t>Tc5</t>
  </si>
  <si>
    <t>Empaque tiempo de no operación (después de terminar la operación)</t>
  </si>
  <si>
    <t>Tno5</t>
  </si>
  <si>
    <t>Paletizado tiempo de operación</t>
  </si>
  <si>
    <t>Tc6</t>
  </si>
  <si>
    <t>Paletizado tiempo de no operación (después de terminar la operación)</t>
  </si>
  <si>
    <t>Tno6</t>
  </si>
  <si>
    <t>Embalaje tiempo de operación</t>
  </si>
  <si>
    <t>Tc7</t>
  </si>
  <si>
    <t>Embalaje tiempo de no operación (después de terminar la operación)</t>
  </si>
  <si>
    <t>Tno7</t>
  </si>
  <si>
    <t>Almacenamiento tiempo de operación</t>
  </si>
  <si>
    <t>Tc8</t>
  </si>
  <si>
    <t>TIempo si se toma 1 pallet por cada trayecto, si se mueven 2 pallets por trayecto se reduce a la mitad, como en Tocancipá</t>
  </si>
  <si>
    <t>Tiempo de alistamiento más alto</t>
  </si>
  <si>
    <t>T_su_max</t>
  </si>
  <si>
    <t>Se podría dejar igual a T_su pero este se hace con una división de un valor más grande, o dejar el tiempo que se considere que se demora en alistarse la máquina más demorada (desconocido). Se deja en 120s por ahora</t>
  </si>
  <si>
    <t>Manufacturing Lead Time</t>
  </si>
  <si>
    <t>MLT</t>
  </si>
  <si>
    <t>Tiempo total de la planta</t>
  </si>
  <si>
    <t>Tt</t>
  </si>
  <si>
    <t>Se tomó por cada turno</t>
  </si>
  <si>
    <t>Tiempo de inactividad planeada</t>
  </si>
  <si>
    <t>Tip</t>
  </si>
  <si>
    <t>1h de preparación</t>
  </si>
  <si>
    <t>Tiempo de ejecución planeado</t>
  </si>
  <si>
    <t>Tep</t>
  </si>
  <si>
    <t>Tiempo de inactividad no planeada</t>
  </si>
  <si>
    <t>Tnp</t>
  </si>
  <si>
    <t>3% por fallas asumido</t>
  </si>
  <si>
    <t>Tiempo de ejecución real (disponible para producir)</t>
  </si>
  <si>
    <t>Ter</t>
  </si>
  <si>
    <t>Disponibilidad (cálculo por tiempos de ejecución)</t>
  </si>
  <si>
    <t>A</t>
  </si>
  <si>
    <t>Tiempo promedio entre fallas</t>
  </si>
  <si>
    <t>MTBF</t>
  </si>
  <si>
    <t>Tiempo promedio de reparación</t>
  </si>
  <si>
    <t>MTTR</t>
  </si>
  <si>
    <t>Disponibilidad (cálculo por tiempos entre fallas)</t>
  </si>
  <si>
    <t>Volumen real de producción por turno</t>
  </si>
  <si>
    <t>VRP</t>
  </si>
  <si>
    <t>botellas</t>
  </si>
  <si>
    <t>Se asume el 97%. Se toma como base R_P</t>
  </si>
  <si>
    <t>Tiempo de ciclo real</t>
  </si>
  <si>
    <t>Tc</t>
  </si>
  <si>
    <t>Cambiar de acuerdo a lo que haga la fabrica. Aqui se asume igual a T_p (tiempo de producción por unidad calculado)</t>
  </si>
  <si>
    <t>Tasa de eficiencia (Rate Efficiency)</t>
  </si>
  <si>
    <t>RE</t>
  </si>
  <si>
    <t>Este siempre dará 1 porque se calculó con los datos que estaban todo, los valores reales los dará la fabrica</t>
  </si>
  <si>
    <t>Eficiencia en velocidad (Speed Efficiency)</t>
  </si>
  <si>
    <t>SE</t>
  </si>
  <si>
    <t>La velocidad de producción puede ser mayor a la demanda, pero eso no implica que así se deba calcular para OEE, por eso se toma el minimo entre eso y 1</t>
  </si>
  <si>
    <t>Eficiencia de desempeño (Performance Efficiency</t>
  </si>
  <si>
    <t>PE</t>
  </si>
  <si>
    <t>Cantidad de defectuosos</t>
  </si>
  <si>
    <t>Defect</t>
  </si>
  <si>
    <t>Cambiar de acuerdo a lo que haga la fabrica. Se deja como el 3% de lo planeado, o sea de 23.000 por hora</t>
  </si>
  <si>
    <t>Tasa de calidad (Quality Rate)</t>
  </si>
  <si>
    <t>QR</t>
  </si>
  <si>
    <t>3% hecho a mano de defectos</t>
  </si>
  <si>
    <t>Eficiencia general del equipamiento (Overall Equipment Effectiveness)</t>
  </si>
  <si>
    <t>OEE</t>
  </si>
  <si>
    <t>Cálculos indicadores para Monster energy lata</t>
  </si>
  <si>
    <t>Número de horas en donde se produce por turno</t>
  </si>
  <si>
    <t>Este siempre dará 1 porque se calculó con los datoos que estaban todo, los valores reales los dará la fabrica</t>
  </si>
  <si>
    <t>Cálculos indicadores para Agua embotellada 1L</t>
  </si>
  <si>
    <t>Revisar si dejar 20000 por hora o 40000 por hora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</si>
</sst>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000"/>
    <numFmt numFmtId="165" formatCode="0.000"/>
  </numFmts>
  <fonts count="4">
    <font>
      <sz val="10.0"/>
      <color rgb="FF000000"/>
      <name val="Arial"/>
      <scheme val="minor"/>
    </font>
    <font>
      <sz val="11.0"/>
      <color theme="1"/>
      <name val="Aptos Narrow"/>
    </font>
    <font>
      <sz val="11.0"/>
      <color theme="1"/>
      <name val="Arial"/>
    </font>
    <font>
      <b/>
      <sz val="11.0"/>
      <color theme="1"/>
      <name val="Arial"/>
    </font>
  </fonts>
  <fills count="2">
    <fill>
      <patternFill patternType="none"/>
    </fill>
    <fill>
      <patternFill patternType="lightGray"/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1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1"/>
    </xf>
    <xf borderId="1" fillId="0" fontId="2" numFmtId="4" xfId="0" applyAlignment="1" applyBorder="1" applyFont="1" applyNumberFormat="1">
      <alignment horizontal="right" vertical="bottom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1" numFmtId="4" xfId="0" applyAlignment="1" applyBorder="1" applyFont="1" applyNumberFormat="1">
      <alignment horizontal="right" vertical="bottom"/>
    </xf>
    <xf borderId="2" fillId="0" fontId="1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3" fillId="0" fontId="2" numFmtId="4" xfId="0" applyAlignment="1" applyBorder="1" applyFont="1" applyNumberFormat="1">
      <alignment horizontal="right" readingOrder="0" vertical="bottom"/>
    </xf>
    <xf borderId="3" fillId="0" fontId="2" numFmtId="0" xfId="0" applyAlignment="1" applyBorder="1" applyFont="1">
      <alignment shrinkToFit="0" vertical="bottom" wrapText="1"/>
    </xf>
    <xf borderId="3" fillId="0" fontId="1" numFmtId="0" xfId="0" applyAlignment="1" applyBorder="1" applyFont="1">
      <alignment vertical="bottom"/>
    </xf>
    <xf borderId="3" fillId="0" fontId="2" numFmtId="0" xfId="0" applyAlignment="1" applyBorder="1" applyFont="1">
      <alignment horizontal="right" vertical="bottom"/>
    </xf>
    <xf borderId="0" fillId="0" fontId="2" numFmtId="0" xfId="0" applyAlignment="1" applyFont="1">
      <alignment shrinkToFit="0" vertical="bottom" wrapText="1"/>
    </xf>
    <xf borderId="1" fillId="0" fontId="2" numFmtId="4" xfId="0" applyAlignment="1" applyBorder="1" applyFont="1" applyNumberFormat="1">
      <alignment horizontal="right" readingOrder="0" vertical="bottom"/>
    </xf>
    <xf borderId="1" fillId="0" fontId="1" numFmtId="4" xfId="0" applyAlignment="1" applyBorder="1" applyFont="1" applyNumberFormat="1">
      <alignment horizontal="right" vertical="bottom"/>
    </xf>
    <xf borderId="0" fillId="0" fontId="2" numFmtId="0" xfId="0" applyAlignment="1" applyFont="1">
      <alignment horizontal="right" vertical="bottom"/>
    </xf>
    <xf borderId="1" fillId="0" fontId="1" numFmtId="0" xfId="0" applyAlignment="1" applyBorder="1" applyFont="1">
      <alignment horizontal="right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3" fillId="0" fontId="1" numFmtId="164" xfId="0" applyAlignment="1" applyBorder="1" applyFont="1" applyNumberFormat="1">
      <alignment horizontal="right" vertical="bottom"/>
    </xf>
    <xf borderId="3" fillId="0" fontId="2" numFmtId="0" xfId="0" applyAlignment="1" applyBorder="1" applyFont="1">
      <alignment readingOrder="0" vertical="bottom"/>
    </xf>
    <xf borderId="4" fillId="0" fontId="1" numFmtId="0" xfId="0" applyAlignment="1" applyBorder="1" applyFont="1">
      <alignment vertical="bottom"/>
    </xf>
    <xf borderId="5" fillId="0" fontId="1" numFmtId="0" xfId="0" applyAlignment="1" applyBorder="1" applyFont="1">
      <alignment vertical="bottom"/>
    </xf>
    <xf borderId="3" fillId="0" fontId="2" numFmtId="4" xfId="0" applyAlignment="1" applyBorder="1" applyFont="1" applyNumberFormat="1">
      <alignment horizontal="right" vertical="bottom"/>
    </xf>
    <xf borderId="2" fillId="0" fontId="1" numFmtId="3" xfId="0" applyAlignment="1" applyBorder="1" applyFont="1" applyNumberFormat="1">
      <alignment horizontal="right" vertical="bottom"/>
    </xf>
    <xf borderId="3" fillId="0" fontId="2" numFmtId="0" xfId="0" applyAlignment="1" applyBorder="1" applyFont="1">
      <alignment horizontal="right" readingOrder="0" vertical="bottom"/>
    </xf>
    <xf borderId="1" fillId="0" fontId="2" numFmtId="165" xfId="0" applyAlignment="1" applyBorder="1" applyFont="1" applyNumberFormat="1">
      <alignment horizontal="right" vertical="bottom"/>
    </xf>
    <xf borderId="1" fillId="0" fontId="2" numFmtId="0" xfId="0" applyAlignment="1" applyBorder="1" applyFont="1">
      <alignment horizontal="right" vertical="bottom"/>
    </xf>
    <xf borderId="1" fillId="0" fontId="2" numFmtId="0" xfId="0" applyAlignment="1" applyBorder="1" applyFont="1">
      <alignment horizontal="right" readingOrder="0" vertical="bottom"/>
    </xf>
    <xf borderId="2" fillId="0" fontId="1" numFmtId="0" xfId="0" applyAlignment="1" applyBorder="1" applyFont="1">
      <alignment horizontal="right" vertical="bottom"/>
    </xf>
    <xf borderId="3" fillId="0" fontId="1" numFmtId="0" xfId="0" applyAlignment="1" applyBorder="1" applyFont="1">
      <alignment horizontal="right" vertical="bottom"/>
    </xf>
    <xf borderId="1" fillId="0" fontId="2" numFmtId="1" xfId="0" applyAlignment="1" applyBorder="1" applyFont="1" applyNumberFormat="1">
      <alignment horizontal="right" vertical="bottom"/>
    </xf>
    <xf borderId="1" fillId="0" fontId="2" numFmtId="0" xfId="0" applyAlignment="1" applyBorder="1" applyFont="1">
      <alignment readingOrder="0" shrinkToFit="0" vertical="bottom" wrapText="1"/>
    </xf>
    <xf borderId="1" fillId="0" fontId="1" numFmtId="164" xfId="0" applyAlignment="1" applyBorder="1" applyFont="1" applyNumberFormat="1">
      <alignment horizontal="right" vertical="bottom"/>
    </xf>
    <xf borderId="1" fillId="0" fontId="1" numFmtId="2" xfId="0" applyAlignment="1" applyBorder="1" applyFont="1" applyNumberFormat="1">
      <alignment horizontal="right" vertical="bottom"/>
    </xf>
    <xf borderId="1" fillId="0" fontId="2" numFmtId="2" xfId="0" applyAlignment="1" applyBorder="1" applyFont="1" applyNumberFormat="1">
      <alignment horizontal="right" readingOrder="0" vertical="bottom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59.38"/>
    <col customWidth="1" min="3" max="3" width="10.38"/>
    <col customWidth="1" min="4" max="4" width="11.75"/>
    <col customWidth="1" min="6" max="6" width="61.63"/>
    <col customWidth="1" min="7" max="7" width="23.13"/>
    <col customWidth="1" min="8" max="8" width="38.13"/>
    <col customWidth="1" min="9" max="9" width="34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 t="s">
        <v>0</v>
      </c>
      <c r="C2" s="3"/>
      <c r="D2" s="3"/>
      <c r="E2" s="3"/>
      <c r="F2" s="3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5" t="s">
        <v>6</v>
      </c>
      <c r="H3" s="3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4" t="s">
        <v>7</v>
      </c>
      <c r="C4" s="4" t="s">
        <v>8</v>
      </c>
      <c r="D4" s="6">
        <v>3600.0</v>
      </c>
      <c r="E4" s="4" t="s">
        <v>9</v>
      </c>
      <c r="F4" s="5" t="s">
        <v>10</v>
      </c>
      <c r="G4" s="5" t="s">
        <v>11</v>
      </c>
      <c r="H4" s="3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5" t="s">
        <v>12</v>
      </c>
      <c r="C5" s="4" t="s">
        <v>13</v>
      </c>
      <c r="D5" s="6">
        <v>20000.0</v>
      </c>
      <c r="E5" s="4" t="s">
        <v>14</v>
      </c>
      <c r="F5" s="5" t="s">
        <v>10</v>
      </c>
      <c r="G5" s="5" t="s">
        <v>11</v>
      </c>
      <c r="H5" s="3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1.5" customHeight="1">
      <c r="A6" s="1"/>
      <c r="B6" s="7" t="s">
        <v>15</v>
      </c>
      <c r="C6" s="8" t="s">
        <v>16</v>
      </c>
      <c r="D6" s="9">
        <f>D4/D5</f>
        <v>0.18</v>
      </c>
      <c r="E6" s="8" t="s">
        <v>17</v>
      </c>
      <c r="F6" s="7" t="s">
        <v>10</v>
      </c>
      <c r="G6" s="7" t="s">
        <v>18</v>
      </c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1" t="s">
        <v>19</v>
      </c>
      <c r="C7" s="11" t="s">
        <v>20</v>
      </c>
      <c r="D7" s="12">
        <v>0.15</v>
      </c>
      <c r="E7" s="11" t="s">
        <v>9</v>
      </c>
      <c r="F7" s="13" t="s">
        <v>21</v>
      </c>
      <c r="G7" s="14"/>
      <c r="H7" s="15">
        <f>(391-255)/1440</f>
        <v>0.09444444444</v>
      </c>
      <c r="I7" s="16" t="s">
        <v>22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4" t="s">
        <v>23</v>
      </c>
      <c r="C8" s="4" t="s">
        <v>24</v>
      </c>
      <c r="D8" s="17">
        <v>0.05</v>
      </c>
      <c r="E8" s="4" t="s">
        <v>9</v>
      </c>
      <c r="F8" s="5" t="s">
        <v>25</v>
      </c>
      <c r="G8" s="3"/>
      <c r="H8" s="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4" t="s">
        <v>26</v>
      </c>
      <c r="C9" s="4" t="s">
        <v>27</v>
      </c>
      <c r="D9" s="6">
        <v>0.0</v>
      </c>
      <c r="E9" s="4" t="s">
        <v>9</v>
      </c>
      <c r="F9" s="5" t="s">
        <v>28</v>
      </c>
      <c r="G9" s="3"/>
      <c r="H9" s="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4" t="s">
        <v>29</v>
      </c>
      <c r="C10" s="4" t="s">
        <v>30</v>
      </c>
      <c r="D10" s="18">
        <f>D7+D8+D9</f>
        <v>0.2</v>
      </c>
      <c r="E10" s="4" t="s">
        <v>9</v>
      </c>
      <c r="F10" s="3"/>
      <c r="G10" s="3"/>
      <c r="H10" s="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4" t="s">
        <v>31</v>
      </c>
      <c r="C11" s="4" t="s">
        <v>32</v>
      </c>
      <c r="D11" s="17">
        <f>8*D5</f>
        <v>160000</v>
      </c>
      <c r="E11" s="4" t="s">
        <v>14</v>
      </c>
      <c r="F11" s="3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4" t="s">
        <v>33</v>
      </c>
      <c r="C12" s="4" t="s">
        <v>34</v>
      </c>
      <c r="D12" s="6">
        <f>3600</f>
        <v>3600</v>
      </c>
      <c r="E12" s="4" t="s">
        <v>9</v>
      </c>
      <c r="F12" s="3"/>
      <c r="G12" s="3"/>
      <c r="H12" s="5" t="s">
        <v>35</v>
      </c>
      <c r="I12" s="19">
        <f>1440/140000*3600</f>
        <v>37.02857143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4" t="s">
        <v>36</v>
      </c>
      <c r="C13" s="4" t="s">
        <v>37</v>
      </c>
      <c r="D13" s="18">
        <f>(D12+D11*D10)/60</f>
        <v>593.3333333</v>
      </c>
      <c r="E13" s="4" t="s">
        <v>38</v>
      </c>
      <c r="F13" s="3"/>
      <c r="G13" s="4" t="s">
        <v>39</v>
      </c>
      <c r="H13" s="20">
        <f>20000/1440</f>
        <v>13.88888889</v>
      </c>
      <c r="I13" s="21">
        <f>D13*H13</f>
        <v>8240.740741</v>
      </c>
      <c r="J13" s="22" t="s">
        <v>40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4" t="s">
        <v>41</v>
      </c>
      <c r="C14" s="4" t="s">
        <v>42</v>
      </c>
      <c r="D14" s="6">
        <f>0.01*D11</f>
        <v>1600</v>
      </c>
      <c r="E14" s="4" t="s">
        <v>9</v>
      </c>
      <c r="F14" s="5" t="s">
        <v>43</v>
      </c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8" t="s">
        <v>44</v>
      </c>
      <c r="C15" s="8" t="s">
        <v>45</v>
      </c>
      <c r="D15" s="9">
        <f>(D14+D13*60)/60</f>
        <v>620</v>
      </c>
      <c r="E15" s="8" t="s">
        <v>38</v>
      </c>
      <c r="F15" s="10"/>
      <c r="G15" s="10"/>
      <c r="H15" s="10"/>
      <c r="I15" s="1"/>
      <c r="J15" s="23" t="s">
        <v>46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1" t="s">
        <v>47</v>
      </c>
      <c r="C16" s="11" t="s">
        <v>48</v>
      </c>
      <c r="D16" s="24">
        <f>D13/D11</f>
        <v>0.003708333333</v>
      </c>
      <c r="E16" s="25" t="s">
        <v>38</v>
      </c>
      <c r="F16" s="1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8" t="s">
        <v>49</v>
      </c>
      <c r="C17" s="8" t="s">
        <v>50</v>
      </c>
      <c r="D17" s="9">
        <f>60/D16</f>
        <v>16179.77528</v>
      </c>
      <c r="E17" s="8" t="s">
        <v>51</v>
      </c>
      <c r="F17" s="26"/>
      <c r="G17" s="27"/>
      <c r="H17" s="1"/>
      <c r="I17" s="1"/>
      <c r="J17" s="23" t="s">
        <v>46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1" t="s">
        <v>52</v>
      </c>
      <c r="C18" s="11" t="s">
        <v>53</v>
      </c>
      <c r="D18" s="28">
        <v>2.0</v>
      </c>
      <c r="E18" s="11" t="s">
        <v>54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4" t="s">
        <v>55</v>
      </c>
      <c r="C19" s="4" t="s">
        <v>56</v>
      </c>
      <c r="D19" s="18">
        <f>7*3</f>
        <v>21</v>
      </c>
      <c r="E19" s="4" t="s">
        <v>57</v>
      </c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2" t="s">
        <v>58</v>
      </c>
      <c r="C20" s="4" t="s">
        <v>59</v>
      </c>
      <c r="D20" s="17">
        <v>8.0</v>
      </c>
      <c r="E20" s="4" t="s">
        <v>60</v>
      </c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8" t="s">
        <v>61</v>
      </c>
      <c r="C21" s="8" t="s">
        <v>62</v>
      </c>
      <c r="D21" s="29">
        <f>D18*D19*D20*D17</f>
        <v>5436404.494</v>
      </c>
      <c r="E21" s="8" t="s">
        <v>63</v>
      </c>
      <c r="F21" s="26"/>
      <c r="G21" s="27"/>
      <c r="H21" s="1"/>
      <c r="I21" s="1"/>
      <c r="J21" s="23" t="s">
        <v>46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1" t="s">
        <v>64</v>
      </c>
      <c r="C22" s="11" t="s">
        <v>32</v>
      </c>
      <c r="D22" s="30">
        <v>4000000.0</v>
      </c>
      <c r="E22" s="11" t="s">
        <v>63</v>
      </c>
      <c r="F22" s="11" t="s">
        <v>65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30.75" customHeight="1">
      <c r="A23" s="1"/>
      <c r="B23" s="5" t="s">
        <v>66</v>
      </c>
      <c r="C23" s="4" t="s">
        <v>67</v>
      </c>
      <c r="D23" s="31">
        <f>D22/D21*100</f>
        <v>73.57804233</v>
      </c>
      <c r="E23" s="4" t="s">
        <v>68</v>
      </c>
      <c r="F23" s="4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4" t="s">
        <v>69</v>
      </c>
      <c r="C24" s="4" t="s">
        <v>70</v>
      </c>
      <c r="D24" s="2">
        <f>3600*2</f>
        <v>7200</v>
      </c>
      <c r="E24" s="4" t="s">
        <v>9</v>
      </c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4" t="s">
        <v>71</v>
      </c>
      <c r="C25" s="4" t="s">
        <v>72</v>
      </c>
      <c r="D25" s="3"/>
      <c r="E25" s="4" t="s">
        <v>9</v>
      </c>
      <c r="F25" s="3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4" t="s">
        <v>73</v>
      </c>
      <c r="C26" s="4" t="s">
        <v>74</v>
      </c>
      <c r="D26" s="3"/>
      <c r="E26" s="4" t="s">
        <v>9</v>
      </c>
      <c r="F26" s="3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4" t="s">
        <v>75</v>
      </c>
      <c r="C27" s="4" t="s">
        <v>76</v>
      </c>
      <c r="D27" s="3"/>
      <c r="E27" s="4" t="s">
        <v>9</v>
      </c>
      <c r="F27" s="3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4" t="s">
        <v>77</v>
      </c>
      <c r="C28" s="4" t="s">
        <v>78</v>
      </c>
      <c r="D28" s="3"/>
      <c r="E28" s="4" t="s">
        <v>9</v>
      </c>
      <c r="F28" s="3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4" t="s">
        <v>79</v>
      </c>
      <c r="C29" s="4" t="s">
        <v>80</v>
      </c>
      <c r="D29" s="3"/>
      <c r="E29" s="4" t="s">
        <v>9</v>
      </c>
      <c r="F29" s="3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4" t="s">
        <v>81</v>
      </c>
      <c r="C30" s="4" t="s">
        <v>82</v>
      </c>
      <c r="D30" s="3"/>
      <c r="E30" s="4" t="s">
        <v>9</v>
      </c>
      <c r="F30" s="3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4" t="s">
        <v>83</v>
      </c>
      <c r="C31" s="4" t="s">
        <v>84</v>
      </c>
      <c r="D31" s="3"/>
      <c r="E31" s="4" t="s">
        <v>9</v>
      </c>
      <c r="F31" s="3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4" t="s">
        <v>85</v>
      </c>
      <c r="C32" s="4" t="s">
        <v>86</v>
      </c>
      <c r="D32" s="3"/>
      <c r="E32" s="4" t="s">
        <v>9</v>
      </c>
      <c r="F32" s="3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4" t="s">
        <v>87</v>
      </c>
      <c r="C33" s="4" t="s">
        <v>88</v>
      </c>
      <c r="D33" s="3"/>
      <c r="E33" s="4" t="s">
        <v>9</v>
      </c>
      <c r="F33" s="3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4" t="s">
        <v>89</v>
      </c>
      <c r="C34" s="4" t="s">
        <v>90</v>
      </c>
      <c r="D34" s="3"/>
      <c r="E34" s="4" t="s">
        <v>9</v>
      </c>
      <c r="F34" s="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4" t="s">
        <v>91</v>
      </c>
      <c r="C35" s="4" t="s">
        <v>92</v>
      </c>
      <c r="D35" s="3"/>
      <c r="E35" s="4" t="s">
        <v>9</v>
      </c>
      <c r="F35" s="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4" t="s">
        <v>93</v>
      </c>
      <c r="C36" s="4" t="s">
        <v>94</v>
      </c>
      <c r="D36" s="3"/>
      <c r="E36" s="4" t="s">
        <v>9</v>
      </c>
      <c r="F36" s="3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4" t="s">
        <v>95</v>
      </c>
      <c r="C37" s="4" t="s">
        <v>96</v>
      </c>
      <c r="D37" s="3"/>
      <c r="E37" s="4" t="s">
        <v>9</v>
      </c>
      <c r="F37" s="3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4" t="s">
        <v>97</v>
      </c>
      <c r="C38" s="4" t="s">
        <v>98</v>
      </c>
      <c r="D38" s="32">
        <v>240.0</v>
      </c>
      <c r="E38" s="4" t="s">
        <v>9</v>
      </c>
      <c r="F38" s="5" t="s">
        <v>99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4" t="s">
        <v>100</v>
      </c>
      <c r="C39" s="4" t="s">
        <v>101</v>
      </c>
      <c r="D39" s="33">
        <v>3600.0</v>
      </c>
      <c r="E39" s="4" t="s">
        <v>9</v>
      </c>
      <c r="F39" s="5" t="s">
        <v>102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8" t="s">
        <v>103</v>
      </c>
      <c r="C40" s="8" t="s">
        <v>104</v>
      </c>
      <c r="D40" s="34">
        <f>SUM(D24:D39)</f>
        <v>11040</v>
      </c>
      <c r="E40" s="8" t="s">
        <v>9</v>
      </c>
      <c r="F40" s="26"/>
      <c r="G40" s="27"/>
      <c r="H40" s="1"/>
      <c r="I40" s="1"/>
      <c r="J40" s="23" t="s">
        <v>46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1" t="s">
        <v>105</v>
      </c>
      <c r="C41" s="11" t="s">
        <v>106</v>
      </c>
      <c r="D41" s="35">
        <f>D42*8</f>
        <v>28800</v>
      </c>
      <c r="E41" s="11" t="s">
        <v>9</v>
      </c>
      <c r="F41" s="11" t="s">
        <v>107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4" t="s">
        <v>108</v>
      </c>
      <c r="C42" s="4" t="s">
        <v>109</v>
      </c>
      <c r="D42" s="32">
        <v>3600.0</v>
      </c>
      <c r="E42" s="4" t="s">
        <v>9</v>
      </c>
      <c r="F42" s="4" t="s">
        <v>110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4" t="s">
        <v>111</v>
      </c>
      <c r="C43" s="4" t="s">
        <v>112</v>
      </c>
      <c r="D43" s="20">
        <f>D41-D42</f>
        <v>25200</v>
      </c>
      <c r="E43" s="4" t="s">
        <v>9</v>
      </c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4" t="s">
        <v>113</v>
      </c>
      <c r="C44" s="4" t="s">
        <v>114</v>
      </c>
      <c r="D44" s="20">
        <f>(1-D49)*D43</f>
        <v>2016</v>
      </c>
      <c r="E44" s="4" t="s">
        <v>9</v>
      </c>
      <c r="F44" s="4" t="s">
        <v>115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4" t="s">
        <v>116</v>
      </c>
      <c r="C45" s="4" t="s">
        <v>117</v>
      </c>
      <c r="D45" s="20">
        <f>D43-D44</f>
        <v>23184</v>
      </c>
      <c r="E45" s="4" t="s">
        <v>9</v>
      </c>
      <c r="F45" s="4" t="s">
        <v>115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4" t="s">
        <v>118</v>
      </c>
      <c r="C46" s="4" t="s">
        <v>119</v>
      </c>
      <c r="D46" s="20">
        <f>D45/D43*100</f>
        <v>92</v>
      </c>
      <c r="E46" s="4" t="s">
        <v>68</v>
      </c>
      <c r="F46" s="4" t="s">
        <v>115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4" t="s">
        <v>120</v>
      </c>
      <c r="C47" s="4" t="s">
        <v>121</v>
      </c>
      <c r="D47" s="20">
        <f>D43*0.92</f>
        <v>23184</v>
      </c>
      <c r="E47" s="4" t="s">
        <v>9</v>
      </c>
      <c r="F47" s="4" t="s">
        <v>115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4" t="s">
        <v>122</v>
      </c>
      <c r="C48" s="4" t="s">
        <v>123</v>
      </c>
      <c r="D48" s="20">
        <f>D43*0.08</f>
        <v>2016</v>
      </c>
      <c r="E48" s="4" t="s">
        <v>9</v>
      </c>
      <c r="F48" s="4" t="s">
        <v>115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4" t="s">
        <v>124</v>
      </c>
      <c r="C49" s="4" t="s">
        <v>119</v>
      </c>
      <c r="D49" s="20">
        <f>D47/(D47+D48)</f>
        <v>0.92</v>
      </c>
      <c r="E49" s="4" t="s">
        <v>68</v>
      </c>
      <c r="F49" s="4" t="s">
        <v>115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4" t="s">
        <v>125</v>
      </c>
      <c r="C50" s="4" t="s">
        <v>126</v>
      </c>
      <c r="D50" s="36">
        <f>D17*7*0.92</f>
        <v>104197.7528</v>
      </c>
      <c r="E50" s="4" t="s">
        <v>127</v>
      </c>
      <c r="F50" s="37" t="s">
        <v>128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4" t="s">
        <v>129</v>
      </c>
      <c r="C51" s="4" t="s">
        <v>130</v>
      </c>
      <c r="D51" s="17">
        <f>0.21</f>
        <v>0.21</v>
      </c>
      <c r="E51" s="4" t="s">
        <v>17</v>
      </c>
      <c r="F51" s="5" t="s">
        <v>131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4" t="s">
        <v>132</v>
      </c>
      <c r="C52" s="4" t="s">
        <v>133</v>
      </c>
      <c r="D52" s="38">
        <f>D51*D50/D45</f>
        <v>0.9438202247</v>
      </c>
      <c r="E52" s="4" t="s">
        <v>11</v>
      </c>
      <c r="F52" s="37" t="s">
        <v>134</v>
      </c>
      <c r="G52" s="1">
        <f>D51*D50/D45</f>
        <v>0.9438202247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4" t="s">
        <v>135</v>
      </c>
      <c r="C53" s="4" t="s">
        <v>136</v>
      </c>
      <c r="D53" s="39">
        <f>MIN(D6/D51,1)</f>
        <v>0.8571428571</v>
      </c>
      <c r="E53" s="4" t="s">
        <v>11</v>
      </c>
      <c r="F53" s="37" t="s">
        <v>137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4" t="s">
        <v>138</v>
      </c>
      <c r="C54" s="4" t="s">
        <v>139</v>
      </c>
      <c r="D54" s="40">
        <f>D52*D53</f>
        <v>0.808988764</v>
      </c>
      <c r="E54" s="4" t="s">
        <v>11</v>
      </c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4" t="s">
        <v>140</v>
      </c>
      <c r="C55" s="4" t="s">
        <v>141</v>
      </c>
      <c r="D55" s="20">
        <f>20000*7*0.03</f>
        <v>4200</v>
      </c>
      <c r="E55" s="3"/>
      <c r="F55" s="5" t="s">
        <v>142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4" t="s">
        <v>143</v>
      </c>
      <c r="C56" s="4" t="s">
        <v>144</v>
      </c>
      <c r="D56" s="39">
        <f>(D50-D55)/D50</f>
        <v>0.959692029</v>
      </c>
      <c r="E56" s="3"/>
      <c r="F56" s="2" t="s">
        <v>145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4" t="s">
        <v>146</v>
      </c>
      <c r="C57" s="4" t="s">
        <v>147</v>
      </c>
      <c r="D57" s="39">
        <f>D49*D54*D56</f>
        <v>0.7142696629</v>
      </c>
      <c r="E57" s="3"/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59.38"/>
    <col customWidth="1" min="3" max="3" width="10.38"/>
    <col customWidth="1" min="4" max="4" width="11.75"/>
    <col customWidth="1" min="6" max="6" width="51.88"/>
    <col customWidth="1" min="7" max="7" width="23.13"/>
    <col customWidth="1" min="8" max="8" width="41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 t="s">
        <v>148</v>
      </c>
      <c r="C2" s="3"/>
      <c r="D2" s="3"/>
      <c r="E2" s="3"/>
      <c r="F2" s="3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5" t="s">
        <v>6</v>
      </c>
      <c r="H3" s="3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4" t="s">
        <v>7</v>
      </c>
      <c r="C4" s="4" t="s">
        <v>8</v>
      </c>
      <c r="D4" s="6">
        <v>3600.0</v>
      </c>
      <c r="E4" s="4" t="s">
        <v>9</v>
      </c>
      <c r="F4" s="5" t="s">
        <v>10</v>
      </c>
      <c r="G4" s="5" t="s">
        <v>11</v>
      </c>
      <c r="H4" s="3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5" t="s">
        <v>12</v>
      </c>
      <c r="C5" s="4" t="s">
        <v>13</v>
      </c>
      <c r="D5" s="17">
        <v>30000.0</v>
      </c>
      <c r="E5" s="4" t="s">
        <v>14</v>
      </c>
      <c r="F5" s="5" t="s">
        <v>10</v>
      </c>
      <c r="G5" s="5" t="s">
        <v>11</v>
      </c>
      <c r="H5" s="3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1.5" customHeight="1">
      <c r="A6" s="1"/>
      <c r="B6" s="7" t="s">
        <v>15</v>
      </c>
      <c r="C6" s="8" t="s">
        <v>16</v>
      </c>
      <c r="D6" s="9">
        <f>D4/D5</f>
        <v>0.12</v>
      </c>
      <c r="E6" s="8" t="s">
        <v>17</v>
      </c>
      <c r="F6" s="7" t="s">
        <v>10</v>
      </c>
      <c r="G6" s="7" t="s">
        <v>18</v>
      </c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1"/>
      <c r="B7" s="11" t="s">
        <v>19</v>
      </c>
      <c r="C7" s="11" t="s">
        <v>20</v>
      </c>
      <c r="D7" s="12">
        <v>0.15</v>
      </c>
      <c r="E7" s="11" t="s">
        <v>9</v>
      </c>
      <c r="F7" s="13" t="s">
        <v>21</v>
      </c>
      <c r="G7" s="14"/>
      <c r="H7" s="15">
        <f>(189.8-172.8)/1440</f>
        <v>0.01180555556</v>
      </c>
      <c r="I7" s="16" t="s">
        <v>22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4" t="s">
        <v>23</v>
      </c>
      <c r="C8" s="4" t="s">
        <v>24</v>
      </c>
      <c r="D8" s="17">
        <v>0.05</v>
      </c>
      <c r="E8" s="4" t="s">
        <v>9</v>
      </c>
      <c r="F8" s="5" t="s">
        <v>25</v>
      </c>
      <c r="G8" s="3"/>
      <c r="H8" s="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4" t="s">
        <v>26</v>
      </c>
      <c r="C9" s="4" t="s">
        <v>27</v>
      </c>
      <c r="D9" s="6">
        <v>0.0</v>
      </c>
      <c r="E9" s="4" t="s">
        <v>9</v>
      </c>
      <c r="F9" s="5" t="s">
        <v>28</v>
      </c>
      <c r="G9" s="3"/>
      <c r="H9" s="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4" t="s">
        <v>29</v>
      </c>
      <c r="C10" s="4" t="s">
        <v>30</v>
      </c>
      <c r="D10" s="18">
        <f>D7+D8+D9</f>
        <v>0.2</v>
      </c>
      <c r="E10" s="4" t="s">
        <v>9</v>
      </c>
      <c r="F10" s="3"/>
      <c r="G10" s="3"/>
      <c r="H10" s="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4" t="s">
        <v>31</v>
      </c>
      <c r="C11" s="4" t="s">
        <v>32</v>
      </c>
      <c r="D11" s="17">
        <f>8*D5</f>
        <v>240000</v>
      </c>
      <c r="E11" s="4" t="s">
        <v>14</v>
      </c>
      <c r="F11" s="3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4" t="s">
        <v>33</v>
      </c>
      <c r="C12" s="4" t="s">
        <v>34</v>
      </c>
      <c r="D12" s="6">
        <f>3600</f>
        <v>3600</v>
      </c>
      <c r="E12" s="4" t="s">
        <v>9</v>
      </c>
      <c r="F12" s="3"/>
      <c r="G12" s="3"/>
      <c r="H12" s="5" t="s">
        <v>35</v>
      </c>
      <c r="I12" s="19">
        <f>1440/140000*3600</f>
        <v>37.02857143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4" t="s">
        <v>36</v>
      </c>
      <c r="C13" s="4" t="s">
        <v>37</v>
      </c>
      <c r="D13" s="18">
        <f>(D12+D11*D10)/60</f>
        <v>860</v>
      </c>
      <c r="E13" s="4" t="s">
        <v>38</v>
      </c>
      <c r="F13" s="3"/>
      <c r="G13" s="4" t="s">
        <v>39</v>
      </c>
      <c r="H13" s="20">
        <f>20000/1440</f>
        <v>13.88888889</v>
      </c>
      <c r="I13" s="21">
        <f>D13*H13</f>
        <v>11944.44444</v>
      </c>
      <c r="J13" s="22" t="s">
        <v>40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4" t="s">
        <v>41</v>
      </c>
      <c r="C14" s="4" t="s">
        <v>42</v>
      </c>
      <c r="D14" s="6">
        <f>0.01*D11</f>
        <v>2400</v>
      </c>
      <c r="E14" s="4" t="s">
        <v>9</v>
      </c>
      <c r="F14" s="5" t="s">
        <v>43</v>
      </c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8" t="s">
        <v>44</v>
      </c>
      <c r="C15" s="8" t="s">
        <v>45</v>
      </c>
      <c r="D15" s="9">
        <f>(D14+D13*60)/60</f>
        <v>900</v>
      </c>
      <c r="E15" s="8" t="s">
        <v>38</v>
      </c>
      <c r="F15" s="10"/>
      <c r="G15" s="10"/>
      <c r="H15" s="10"/>
      <c r="I15" s="1"/>
      <c r="J15" s="23" t="s">
        <v>46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1" t="s">
        <v>47</v>
      </c>
      <c r="C16" s="11" t="s">
        <v>48</v>
      </c>
      <c r="D16" s="24">
        <f>D13/D11</f>
        <v>0.003583333333</v>
      </c>
      <c r="E16" s="11" t="s">
        <v>9</v>
      </c>
      <c r="F16" s="1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8" t="s">
        <v>49</v>
      </c>
      <c r="C17" s="8" t="s">
        <v>50</v>
      </c>
      <c r="D17" s="9">
        <f>60/D16</f>
        <v>16744.18605</v>
      </c>
      <c r="E17" s="8" t="s">
        <v>51</v>
      </c>
      <c r="F17" s="26"/>
      <c r="G17" s="27"/>
      <c r="H17" s="1"/>
      <c r="I17" s="1"/>
      <c r="J17" s="23" t="s">
        <v>46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1" t="s">
        <v>52</v>
      </c>
      <c r="C18" s="11" t="s">
        <v>53</v>
      </c>
      <c r="D18" s="12">
        <v>1.0</v>
      </c>
      <c r="E18" s="11" t="s">
        <v>54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4" t="s">
        <v>55</v>
      </c>
      <c r="C19" s="4" t="s">
        <v>56</v>
      </c>
      <c r="D19" s="18">
        <f>7*3</f>
        <v>21</v>
      </c>
      <c r="E19" s="4" t="s">
        <v>57</v>
      </c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4" t="s">
        <v>149</v>
      </c>
      <c r="C20" s="4" t="s">
        <v>59</v>
      </c>
      <c r="D20" s="17">
        <v>8.0</v>
      </c>
      <c r="E20" s="4" t="s">
        <v>60</v>
      </c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8" t="s">
        <v>61</v>
      </c>
      <c r="C21" s="8" t="s">
        <v>62</v>
      </c>
      <c r="D21" s="29">
        <f>D18*D19*D20*D17</f>
        <v>2813023.256</v>
      </c>
      <c r="E21" s="8" t="s">
        <v>63</v>
      </c>
      <c r="F21" s="26"/>
      <c r="G21" s="27"/>
      <c r="H21" s="1"/>
      <c r="I21" s="1"/>
      <c r="J21" s="23" t="s">
        <v>46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1" t="s">
        <v>64</v>
      </c>
      <c r="C22" s="11" t="s">
        <v>32</v>
      </c>
      <c r="D22" s="30">
        <v>2000000.0</v>
      </c>
      <c r="E22" s="11" t="s">
        <v>63</v>
      </c>
      <c r="F22" s="11" t="s">
        <v>65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30.75" customHeight="1">
      <c r="A23" s="1"/>
      <c r="B23" s="5" t="s">
        <v>66</v>
      </c>
      <c r="C23" s="4" t="s">
        <v>67</v>
      </c>
      <c r="D23" s="31">
        <f>D22/D21*100</f>
        <v>71.0978836</v>
      </c>
      <c r="E23" s="4" t="s">
        <v>68</v>
      </c>
      <c r="F23" s="4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4" t="s">
        <v>69</v>
      </c>
      <c r="C24" s="4" t="s">
        <v>70</v>
      </c>
      <c r="D24" s="2">
        <f>3600*3</f>
        <v>10800</v>
      </c>
      <c r="E24" s="4" t="s">
        <v>9</v>
      </c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4" t="s">
        <v>71</v>
      </c>
      <c r="C25" s="4" t="s">
        <v>72</v>
      </c>
      <c r="D25" s="3"/>
      <c r="E25" s="4" t="s">
        <v>9</v>
      </c>
      <c r="F25" s="3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4" t="s">
        <v>73</v>
      </c>
      <c r="C26" s="4" t="s">
        <v>74</v>
      </c>
      <c r="D26" s="3"/>
      <c r="E26" s="4" t="s">
        <v>9</v>
      </c>
      <c r="F26" s="3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4" t="s">
        <v>75</v>
      </c>
      <c r="C27" s="4" t="s">
        <v>76</v>
      </c>
      <c r="D27" s="3"/>
      <c r="E27" s="4" t="s">
        <v>9</v>
      </c>
      <c r="F27" s="3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4" t="s">
        <v>77</v>
      </c>
      <c r="C28" s="4" t="s">
        <v>78</v>
      </c>
      <c r="D28" s="3"/>
      <c r="E28" s="4" t="s">
        <v>9</v>
      </c>
      <c r="F28" s="3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4" t="s">
        <v>79</v>
      </c>
      <c r="C29" s="4" t="s">
        <v>80</v>
      </c>
      <c r="D29" s="3"/>
      <c r="E29" s="4" t="s">
        <v>9</v>
      </c>
      <c r="F29" s="3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4" t="s">
        <v>81</v>
      </c>
      <c r="C30" s="4" t="s">
        <v>82</v>
      </c>
      <c r="D30" s="3"/>
      <c r="E30" s="4" t="s">
        <v>9</v>
      </c>
      <c r="F30" s="3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4" t="s">
        <v>83</v>
      </c>
      <c r="C31" s="4" t="s">
        <v>84</v>
      </c>
      <c r="D31" s="3"/>
      <c r="E31" s="4" t="s">
        <v>9</v>
      </c>
      <c r="F31" s="3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4" t="s">
        <v>85</v>
      </c>
      <c r="C32" s="4" t="s">
        <v>86</v>
      </c>
      <c r="D32" s="3"/>
      <c r="E32" s="4" t="s">
        <v>9</v>
      </c>
      <c r="F32" s="3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4" t="s">
        <v>87</v>
      </c>
      <c r="C33" s="4" t="s">
        <v>88</v>
      </c>
      <c r="D33" s="3"/>
      <c r="E33" s="4" t="s">
        <v>9</v>
      </c>
      <c r="F33" s="3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4" t="s">
        <v>89</v>
      </c>
      <c r="C34" s="4" t="s">
        <v>90</v>
      </c>
      <c r="D34" s="3"/>
      <c r="E34" s="4" t="s">
        <v>9</v>
      </c>
      <c r="F34" s="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4" t="s">
        <v>91</v>
      </c>
      <c r="C35" s="4" t="s">
        <v>92</v>
      </c>
      <c r="D35" s="3"/>
      <c r="E35" s="4" t="s">
        <v>9</v>
      </c>
      <c r="F35" s="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4" t="s">
        <v>93</v>
      </c>
      <c r="C36" s="4" t="s">
        <v>94</v>
      </c>
      <c r="D36" s="3"/>
      <c r="E36" s="4" t="s">
        <v>9</v>
      </c>
      <c r="F36" s="3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4" t="s">
        <v>95</v>
      </c>
      <c r="C37" s="4" t="s">
        <v>96</v>
      </c>
      <c r="D37" s="3"/>
      <c r="E37" s="4" t="s">
        <v>9</v>
      </c>
      <c r="F37" s="3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4" t="s">
        <v>97</v>
      </c>
      <c r="C38" s="4" t="s">
        <v>98</v>
      </c>
      <c r="D38" s="32">
        <v>240.0</v>
      </c>
      <c r="E38" s="4" t="s">
        <v>9</v>
      </c>
      <c r="F38" s="5" t="s">
        <v>99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4" t="s">
        <v>100</v>
      </c>
      <c r="C39" s="4" t="s">
        <v>101</v>
      </c>
      <c r="D39" s="33">
        <v>3600.0</v>
      </c>
      <c r="E39" s="4" t="s">
        <v>9</v>
      </c>
      <c r="F39" s="5" t="s">
        <v>102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8" t="s">
        <v>103</v>
      </c>
      <c r="C40" s="8" t="s">
        <v>104</v>
      </c>
      <c r="D40" s="34">
        <f>SUM(D24:D39)</f>
        <v>14640</v>
      </c>
      <c r="E40" s="8" t="s">
        <v>9</v>
      </c>
      <c r="F40" s="26"/>
      <c r="G40" s="27"/>
      <c r="H40" s="1"/>
      <c r="I40" s="1"/>
      <c r="J40" s="23" t="s">
        <v>46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1" t="s">
        <v>105</v>
      </c>
      <c r="C41" s="11" t="s">
        <v>106</v>
      </c>
      <c r="D41" s="35">
        <f>D42*8</f>
        <v>28800</v>
      </c>
      <c r="E41" s="11" t="s">
        <v>9</v>
      </c>
      <c r="F41" s="11" t="s">
        <v>107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4" t="s">
        <v>108</v>
      </c>
      <c r="C42" s="4" t="s">
        <v>109</v>
      </c>
      <c r="D42" s="32">
        <v>3600.0</v>
      </c>
      <c r="E42" s="4" t="s">
        <v>9</v>
      </c>
      <c r="F42" s="4" t="s">
        <v>110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4" t="s">
        <v>111</v>
      </c>
      <c r="C43" s="4" t="s">
        <v>112</v>
      </c>
      <c r="D43" s="20">
        <f>D41-D42</f>
        <v>25200</v>
      </c>
      <c r="E43" s="4" t="s">
        <v>9</v>
      </c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4" t="s">
        <v>113</v>
      </c>
      <c r="C44" s="4" t="s">
        <v>114</v>
      </c>
      <c r="D44" s="20">
        <f>(1-D49)*D43</f>
        <v>1920</v>
      </c>
      <c r="E44" s="4" t="s">
        <v>9</v>
      </c>
      <c r="F44" s="4" t="s">
        <v>115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4" t="s">
        <v>116</v>
      </c>
      <c r="C45" s="4" t="s">
        <v>117</v>
      </c>
      <c r="D45" s="20">
        <f>D43-D44</f>
        <v>23280</v>
      </c>
      <c r="E45" s="4" t="s">
        <v>9</v>
      </c>
      <c r="F45" s="4" t="s">
        <v>115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4" t="s">
        <v>118</v>
      </c>
      <c r="C46" s="4" t="s">
        <v>119</v>
      </c>
      <c r="D46" s="20">
        <f>D45/D43*100</f>
        <v>92.38095238</v>
      </c>
      <c r="E46" s="4" t="s">
        <v>68</v>
      </c>
      <c r="F46" s="4" t="s">
        <v>115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4" t="s">
        <v>120</v>
      </c>
      <c r="C47" s="4" t="s">
        <v>121</v>
      </c>
      <c r="D47" s="20">
        <f>D43*0.97</f>
        <v>24444</v>
      </c>
      <c r="E47" s="4" t="s">
        <v>9</v>
      </c>
      <c r="F47" s="4" t="s">
        <v>115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4" t="s">
        <v>122</v>
      </c>
      <c r="C48" s="4" t="s">
        <v>123</v>
      </c>
      <c r="D48" s="20">
        <f>D43*0.08</f>
        <v>2016</v>
      </c>
      <c r="E48" s="4" t="s">
        <v>9</v>
      </c>
      <c r="F48" s="4" t="s">
        <v>115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4" t="s">
        <v>124</v>
      </c>
      <c r="C49" s="4" t="s">
        <v>119</v>
      </c>
      <c r="D49" s="20">
        <f>D47/(D47+D48)</f>
        <v>0.9238095238</v>
      </c>
      <c r="E49" s="4" t="s">
        <v>68</v>
      </c>
      <c r="F49" s="4" t="s">
        <v>115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4" t="s">
        <v>125</v>
      </c>
      <c r="C50" s="4" t="s">
        <v>126</v>
      </c>
      <c r="D50" s="36">
        <f>D17*7*0.95</f>
        <v>111348.8372</v>
      </c>
      <c r="E50" s="4" t="s">
        <v>127</v>
      </c>
      <c r="F50" s="37" t="s">
        <v>128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4" t="s">
        <v>129</v>
      </c>
      <c r="C51" s="4" t="s">
        <v>130</v>
      </c>
      <c r="D51" s="17">
        <f>0.21</f>
        <v>0.21</v>
      </c>
      <c r="E51" s="4" t="s">
        <v>17</v>
      </c>
      <c r="F51" s="5" t="s">
        <v>131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48.75" customHeight="1">
      <c r="A52" s="1"/>
      <c r="B52" s="4" t="s">
        <v>132</v>
      </c>
      <c r="C52" s="4" t="s">
        <v>133</v>
      </c>
      <c r="D52" s="38">
        <f>D51*D50/D45</f>
        <v>1.004435387</v>
      </c>
      <c r="E52" s="4" t="s">
        <v>11</v>
      </c>
      <c r="F52" s="37" t="s">
        <v>150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57.75" customHeight="1">
      <c r="A53" s="1"/>
      <c r="B53" s="4" t="s">
        <v>135</v>
      </c>
      <c r="C53" s="4" t="s">
        <v>136</v>
      </c>
      <c r="D53" s="39">
        <f>MIN(D6/D51,1)</f>
        <v>0.5714285714</v>
      </c>
      <c r="E53" s="4" t="s">
        <v>11</v>
      </c>
      <c r="F53" s="37" t="s">
        <v>137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4" t="s">
        <v>138</v>
      </c>
      <c r="C54" s="4" t="s">
        <v>139</v>
      </c>
      <c r="D54" s="40">
        <f>D52*D53</f>
        <v>0.5739630784</v>
      </c>
      <c r="E54" s="4" t="s">
        <v>11</v>
      </c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4" t="s">
        <v>140</v>
      </c>
      <c r="C55" s="4" t="s">
        <v>141</v>
      </c>
      <c r="D55" s="20">
        <f>23000*7*0.03</f>
        <v>4830</v>
      </c>
      <c r="E55" s="3"/>
      <c r="F55" s="5" t="s">
        <v>142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4" t="s">
        <v>143</v>
      </c>
      <c r="C56" s="4" t="s">
        <v>144</v>
      </c>
      <c r="D56" s="39">
        <f>(D50-D55)/D50</f>
        <v>0.956622807</v>
      </c>
      <c r="E56" s="3"/>
      <c r="F56" s="2" t="s">
        <v>145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4" t="s">
        <v>146</v>
      </c>
      <c r="C57" s="4" t="s">
        <v>147</v>
      </c>
      <c r="D57" s="39">
        <f>D49*D54*D56</f>
        <v>0.5072325581</v>
      </c>
      <c r="E57" s="3"/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59.38"/>
    <col customWidth="1" min="3" max="3" width="10.38"/>
    <col customWidth="1" min="4" max="4" width="11.75"/>
    <col customWidth="1" min="6" max="6" width="41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 t="s">
        <v>151</v>
      </c>
      <c r="C2" s="3"/>
      <c r="D2" s="3"/>
      <c r="E2" s="3"/>
      <c r="F2" s="3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41" t="s">
        <v>1</v>
      </c>
      <c r="C3" s="41" t="s">
        <v>2</v>
      </c>
      <c r="D3" s="41" t="s">
        <v>3</v>
      </c>
      <c r="E3" s="41" t="s">
        <v>4</v>
      </c>
      <c r="F3" s="41" t="s">
        <v>5</v>
      </c>
      <c r="G3" s="42" t="s">
        <v>6</v>
      </c>
      <c r="H3" s="3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4" t="s">
        <v>7</v>
      </c>
      <c r="C4" s="4" t="s">
        <v>8</v>
      </c>
      <c r="D4" s="6">
        <v>3600.0</v>
      </c>
      <c r="E4" s="4" t="s">
        <v>9</v>
      </c>
      <c r="F4" s="5" t="s">
        <v>10</v>
      </c>
      <c r="G4" s="5" t="s">
        <v>11</v>
      </c>
      <c r="H4" s="3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5" t="s">
        <v>12</v>
      </c>
      <c r="C5" s="4" t="s">
        <v>13</v>
      </c>
      <c r="D5" s="17">
        <v>15000.0</v>
      </c>
      <c r="E5" s="4" t="s">
        <v>14</v>
      </c>
      <c r="F5" s="5" t="s">
        <v>10</v>
      </c>
      <c r="G5" s="5" t="s">
        <v>11</v>
      </c>
      <c r="H5" s="3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1.5" customHeight="1">
      <c r="A6" s="1"/>
      <c r="B6" s="7" t="s">
        <v>15</v>
      </c>
      <c r="C6" s="8" t="s">
        <v>16</v>
      </c>
      <c r="D6" s="9">
        <f>D4/D5</f>
        <v>0.24</v>
      </c>
      <c r="E6" s="8" t="s">
        <v>17</v>
      </c>
      <c r="F6" s="7" t="s">
        <v>10</v>
      </c>
      <c r="G6" s="7" t="s">
        <v>18</v>
      </c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1" t="s">
        <v>19</v>
      </c>
      <c r="C7" s="11" t="s">
        <v>20</v>
      </c>
      <c r="D7" s="12">
        <v>0.15</v>
      </c>
      <c r="E7" s="11" t="s">
        <v>9</v>
      </c>
      <c r="F7" s="13" t="s">
        <v>21</v>
      </c>
      <c r="G7" s="14"/>
      <c r="H7" s="15">
        <f>(175-150)/640</f>
        <v>0.0390625</v>
      </c>
      <c r="I7" s="16" t="s">
        <v>22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4" t="s">
        <v>23</v>
      </c>
      <c r="C8" s="4" t="s">
        <v>24</v>
      </c>
      <c r="D8" s="17">
        <v>0.05</v>
      </c>
      <c r="E8" s="4" t="s">
        <v>9</v>
      </c>
      <c r="F8" s="5" t="s">
        <v>25</v>
      </c>
      <c r="G8" s="3"/>
      <c r="H8" s="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4" t="s">
        <v>26</v>
      </c>
      <c r="C9" s="4" t="s">
        <v>27</v>
      </c>
      <c r="D9" s="6">
        <v>0.0</v>
      </c>
      <c r="E9" s="4" t="s">
        <v>9</v>
      </c>
      <c r="F9" s="5" t="s">
        <v>28</v>
      </c>
      <c r="G9" s="3"/>
      <c r="H9" s="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4" t="s">
        <v>29</v>
      </c>
      <c r="C10" s="4" t="s">
        <v>30</v>
      </c>
      <c r="D10" s="18">
        <f>D7+D8+D9</f>
        <v>0.2</v>
      </c>
      <c r="E10" s="4" t="s">
        <v>9</v>
      </c>
      <c r="F10" s="3"/>
      <c r="G10" s="3"/>
      <c r="H10" s="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4" t="s">
        <v>31</v>
      </c>
      <c r="C11" s="4" t="s">
        <v>32</v>
      </c>
      <c r="D11" s="17">
        <f>8*D5</f>
        <v>120000</v>
      </c>
      <c r="E11" s="4" t="s">
        <v>14</v>
      </c>
      <c r="F11" s="3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4" t="s">
        <v>33</v>
      </c>
      <c r="C12" s="4" t="s">
        <v>34</v>
      </c>
      <c r="D12" s="6">
        <f>3600</f>
        <v>3600</v>
      </c>
      <c r="E12" s="4" t="s">
        <v>9</v>
      </c>
      <c r="F12" s="3"/>
      <c r="G12" s="3"/>
      <c r="H12" s="5" t="s">
        <v>35</v>
      </c>
      <c r="I12" s="19">
        <f>1440/140000*3600</f>
        <v>37.02857143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4" t="s">
        <v>36</v>
      </c>
      <c r="C13" s="4" t="s">
        <v>37</v>
      </c>
      <c r="D13" s="18">
        <f>(D12+D11*D10)/60</f>
        <v>460</v>
      </c>
      <c r="E13" s="4" t="s">
        <v>38</v>
      </c>
      <c r="F13" s="3"/>
      <c r="G13" s="4" t="s">
        <v>39</v>
      </c>
      <c r="H13" s="20">
        <f>15000/640</f>
        <v>23.4375</v>
      </c>
      <c r="I13" s="21">
        <f>D13*H13</f>
        <v>10781.25</v>
      </c>
      <c r="J13" s="22" t="s">
        <v>40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4" t="s">
        <v>41</v>
      </c>
      <c r="C14" s="4" t="s">
        <v>42</v>
      </c>
      <c r="D14" s="6">
        <f>0.01*D11</f>
        <v>1200</v>
      </c>
      <c r="E14" s="4" t="s">
        <v>9</v>
      </c>
      <c r="F14" s="5" t="s">
        <v>43</v>
      </c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8" t="s">
        <v>44</v>
      </c>
      <c r="C15" s="8" t="s">
        <v>45</v>
      </c>
      <c r="D15" s="9">
        <f>(D14+D13*60)/60</f>
        <v>480</v>
      </c>
      <c r="E15" s="8" t="s">
        <v>38</v>
      </c>
      <c r="F15" s="10"/>
      <c r="G15" s="10"/>
      <c r="H15" s="10"/>
      <c r="I15" s="1"/>
      <c r="J15" s="23" t="s">
        <v>46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1" t="s">
        <v>47</v>
      </c>
      <c r="C16" s="11" t="s">
        <v>48</v>
      </c>
      <c r="D16" s="24">
        <f>D13/D11</f>
        <v>0.003833333333</v>
      </c>
      <c r="E16" s="11" t="s">
        <v>9</v>
      </c>
      <c r="F16" s="1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8" t="s">
        <v>49</v>
      </c>
      <c r="C17" s="8" t="s">
        <v>50</v>
      </c>
      <c r="D17" s="9">
        <f>60/D16</f>
        <v>15652.17391</v>
      </c>
      <c r="E17" s="8" t="s">
        <v>51</v>
      </c>
      <c r="F17" s="26"/>
      <c r="G17" s="27"/>
      <c r="H17" s="1"/>
      <c r="I17" s="1"/>
      <c r="J17" s="23" t="s">
        <v>46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1" t="s">
        <v>52</v>
      </c>
      <c r="C18" s="11" t="s">
        <v>53</v>
      </c>
      <c r="D18" s="28">
        <v>2.0</v>
      </c>
      <c r="E18" s="11" t="s">
        <v>54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4" t="s">
        <v>55</v>
      </c>
      <c r="C19" s="4" t="s">
        <v>56</v>
      </c>
      <c r="D19" s="18">
        <f>7*3</f>
        <v>21</v>
      </c>
      <c r="E19" s="4" t="s">
        <v>57</v>
      </c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4" t="s">
        <v>149</v>
      </c>
      <c r="C20" s="4" t="s">
        <v>59</v>
      </c>
      <c r="D20" s="17">
        <v>8.0</v>
      </c>
      <c r="E20" s="4" t="s">
        <v>60</v>
      </c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8" t="s">
        <v>61</v>
      </c>
      <c r="C21" s="8" t="s">
        <v>62</v>
      </c>
      <c r="D21" s="29">
        <f>D18*D19*D20*D17</f>
        <v>5259130.435</v>
      </c>
      <c r="E21" s="8" t="s">
        <v>63</v>
      </c>
      <c r="F21" s="26"/>
      <c r="G21" s="27"/>
      <c r="H21" s="1"/>
      <c r="I21" s="1"/>
      <c r="J21" s="23" t="s">
        <v>46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1" t="s">
        <v>64</v>
      </c>
      <c r="C22" s="11" t="s">
        <v>32</v>
      </c>
      <c r="D22" s="30">
        <v>4000000.0</v>
      </c>
      <c r="E22" s="11" t="s">
        <v>63</v>
      </c>
      <c r="F22" s="11" t="s">
        <v>65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30.75" customHeight="1">
      <c r="A23" s="1"/>
      <c r="B23" s="5" t="s">
        <v>66</v>
      </c>
      <c r="C23" s="4" t="s">
        <v>67</v>
      </c>
      <c r="D23" s="31">
        <f>D22/D21*100</f>
        <v>76.05820106</v>
      </c>
      <c r="E23" s="4" t="s">
        <v>68</v>
      </c>
      <c r="F23" s="4" t="s">
        <v>152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4" t="s">
        <v>69</v>
      </c>
      <c r="C24" s="4" t="s">
        <v>70</v>
      </c>
      <c r="D24" s="2">
        <f>3600*2</f>
        <v>7200</v>
      </c>
      <c r="E24" s="4" t="s">
        <v>9</v>
      </c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4" t="s">
        <v>71</v>
      </c>
      <c r="C25" s="4" t="s">
        <v>72</v>
      </c>
      <c r="D25" s="3"/>
      <c r="E25" s="4" t="s">
        <v>9</v>
      </c>
      <c r="F25" s="3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4" t="s">
        <v>73</v>
      </c>
      <c r="C26" s="4" t="s">
        <v>74</v>
      </c>
      <c r="D26" s="3"/>
      <c r="E26" s="4" t="s">
        <v>9</v>
      </c>
      <c r="F26" s="3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4" t="s">
        <v>75</v>
      </c>
      <c r="C27" s="4" t="s">
        <v>76</v>
      </c>
      <c r="D27" s="3"/>
      <c r="E27" s="4" t="s">
        <v>9</v>
      </c>
      <c r="F27" s="3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4" t="s">
        <v>77</v>
      </c>
      <c r="C28" s="4" t="s">
        <v>78</v>
      </c>
      <c r="D28" s="3"/>
      <c r="E28" s="4" t="s">
        <v>9</v>
      </c>
      <c r="F28" s="3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4" t="s">
        <v>79</v>
      </c>
      <c r="C29" s="4" t="s">
        <v>80</v>
      </c>
      <c r="D29" s="3"/>
      <c r="E29" s="4" t="s">
        <v>9</v>
      </c>
      <c r="F29" s="3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4" t="s">
        <v>81</v>
      </c>
      <c r="C30" s="4" t="s">
        <v>82</v>
      </c>
      <c r="D30" s="3"/>
      <c r="E30" s="4" t="s">
        <v>9</v>
      </c>
      <c r="F30" s="3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4" t="s">
        <v>83</v>
      </c>
      <c r="C31" s="4" t="s">
        <v>84</v>
      </c>
      <c r="D31" s="3"/>
      <c r="E31" s="4" t="s">
        <v>9</v>
      </c>
      <c r="F31" s="3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4" t="s">
        <v>85</v>
      </c>
      <c r="C32" s="4" t="s">
        <v>86</v>
      </c>
      <c r="D32" s="3"/>
      <c r="E32" s="4" t="s">
        <v>9</v>
      </c>
      <c r="F32" s="3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4" t="s">
        <v>87</v>
      </c>
      <c r="C33" s="4" t="s">
        <v>88</v>
      </c>
      <c r="D33" s="3"/>
      <c r="E33" s="4" t="s">
        <v>9</v>
      </c>
      <c r="F33" s="3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4" t="s">
        <v>89</v>
      </c>
      <c r="C34" s="4" t="s">
        <v>90</v>
      </c>
      <c r="D34" s="3"/>
      <c r="E34" s="4" t="s">
        <v>9</v>
      </c>
      <c r="F34" s="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4" t="s">
        <v>91</v>
      </c>
      <c r="C35" s="4" t="s">
        <v>92</v>
      </c>
      <c r="D35" s="3"/>
      <c r="E35" s="4" t="s">
        <v>9</v>
      </c>
      <c r="F35" s="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4" t="s">
        <v>93</v>
      </c>
      <c r="C36" s="4" t="s">
        <v>94</v>
      </c>
      <c r="D36" s="3"/>
      <c r="E36" s="4" t="s">
        <v>9</v>
      </c>
      <c r="F36" s="3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4" t="s">
        <v>95</v>
      </c>
      <c r="C37" s="4" t="s">
        <v>96</v>
      </c>
      <c r="D37" s="3"/>
      <c r="E37" s="4" t="s">
        <v>9</v>
      </c>
      <c r="F37" s="3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4" t="s">
        <v>97</v>
      </c>
      <c r="C38" s="4" t="s">
        <v>98</v>
      </c>
      <c r="D38" s="32">
        <v>240.0</v>
      </c>
      <c r="E38" s="4" t="s">
        <v>9</v>
      </c>
      <c r="F38" s="5" t="s">
        <v>99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4" t="s">
        <v>100</v>
      </c>
      <c r="C39" s="4" t="s">
        <v>101</v>
      </c>
      <c r="D39" s="33">
        <v>3600.0</v>
      </c>
      <c r="E39" s="4" t="s">
        <v>9</v>
      </c>
      <c r="F39" s="5" t="s">
        <v>102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8" t="s">
        <v>103</v>
      </c>
      <c r="C40" s="8" t="s">
        <v>104</v>
      </c>
      <c r="D40" s="34">
        <f>SUM(D24:D39)</f>
        <v>11040</v>
      </c>
      <c r="E40" s="8" t="s">
        <v>9</v>
      </c>
      <c r="F40" s="26"/>
      <c r="G40" s="27"/>
      <c r="H40" s="1"/>
      <c r="I40" s="1"/>
      <c r="J40" s="23" t="s">
        <v>46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1" t="s">
        <v>105</v>
      </c>
      <c r="C41" s="11" t="s">
        <v>106</v>
      </c>
      <c r="D41" s="35">
        <f>D42*8</f>
        <v>28800</v>
      </c>
      <c r="E41" s="11" t="s">
        <v>9</v>
      </c>
      <c r="F41" s="11" t="s">
        <v>107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4" t="s">
        <v>108</v>
      </c>
      <c r="C42" s="4" t="s">
        <v>109</v>
      </c>
      <c r="D42" s="32">
        <v>3600.0</v>
      </c>
      <c r="E42" s="4" t="s">
        <v>9</v>
      </c>
      <c r="F42" s="4" t="s">
        <v>110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4" t="s">
        <v>111</v>
      </c>
      <c r="C43" s="4" t="s">
        <v>112</v>
      </c>
      <c r="D43" s="20">
        <f>D41-D42</f>
        <v>25200</v>
      </c>
      <c r="E43" s="4" t="s">
        <v>9</v>
      </c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4" t="s">
        <v>113</v>
      </c>
      <c r="C44" s="4" t="s">
        <v>114</v>
      </c>
      <c r="D44" s="20">
        <f>(1-D49)*D43</f>
        <v>1920</v>
      </c>
      <c r="E44" s="4" t="s">
        <v>9</v>
      </c>
      <c r="F44" s="4" t="s">
        <v>115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4" t="s">
        <v>116</v>
      </c>
      <c r="C45" s="4" t="s">
        <v>117</v>
      </c>
      <c r="D45" s="20">
        <f>D43-D44</f>
        <v>23280</v>
      </c>
      <c r="E45" s="4" t="s">
        <v>9</v>
      </c>
      <c r="F45" s="4" t="s">
        <v>115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4" t="s">
        <v>118</v>
      </c>
      <c r="C46" s="4" t="s">
        <v>119</v>
      </c>
      <c r="D46" s="20">
        <f>D45/D43*100</f>
        <v>92.38095238</v>
      </c>
      <c r="E46" s="4" t="s">
        <v>68</v>
      </c>
      <c r="F46" s="4" t="s">
        <v>115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4" t="s">
        <v>120</v>
      </c>
      <c r="C47" s="4" t="s">
        <v>121</v>
      </c>
      <c r="D47" s="20">
        <f>D43*0.97</f>
        <v>24444</v>
      </c>
      <c r="E47" s="4" t="s">
        <v>9</v>
      </c>
      <c r="F47" s="4" t="s">
        <v>115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4" t="s">
        <v>122</v>
      </c>
      <c r="C48" s="4" t="s">
        <v>123</v>
      </c>
      <c r="D48" s="20">
        <f>D43*0.08</f>
        <v>2016</v>
      </c>
      <c r="E48" s="4" t="s">
        <v>9</v>
      </c>
      <c r="F48" s="4" t="s">
        <v>115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4" t="s">
        <v>124</v>
      </c>
      <c r="C49" s="4" t="s">
        <v>119</v>
      </c>
      <c r="D49" s="20">
        <f>D47/(D47+D48)</f>
        <v>0.9238095238</v>
      </c>
      <c r="E49" s="4" t="s">
        <v>68</v>
      </c>
      <c r="F49" s="4" t="s">
        <v>115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4" t="s">
        <v>125</v>
      </c>
      <c r="C50" s="4" t="s">
        <v>126</v>
      </c>
      <c r="D50" s="36">
        <f>D17*7*0.95</f>
        <v>104086.9565</v>
      </c>
      <c r="E50" s="4" t="s">
        <v>127</v>
      </c>
      <c r="F50" s="37" t="s">
        <v>128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4" t="s">
        <v>129</v>
      </c>
      <c r="C51" s="4" t="s">
        <v>130</v>
      </c>
      <c r="D51" s="17">
        <v>0.21</v>
      </c>
      <c r="E51" s="4" t="s">
        <v>17</v>
      </c>
      <c r="F51" s="5" t="s">
        <v>131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48.75" customHeight="1">
      <c r="A52" s="1"/>
      <c r="B52" s="4" t="s">
        <v>132</v>
      </c>
      <c r="C52" s="4" t="s">
        <v>133</v>
      </c>
      <c r="D52" s="38">
        <f>D51*D50/D45</f>
        <v>0.9389287315</v>
      </c>
      <c r="E52" s="4" t="s">
        <v>11</v>
      </c>
      <c r="F52" s="37" t="s">
        <v>150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57.75" customHeight="1">
      <c r="A53" s="1"/>
      <c r="B53" s="4" t="s">
        <v>135</v>
      </c>
      <c r="C53" s="4" t="s">
        <v>136</v>
      </c>
      <c r="D53" s="39">
        <f>MIN(D6/D51,1)</f>
        <v>1</v>
      </c>
      <c r="E53" s="4" t="s">
        <v>11</v>
      </c>
      <c r="F53" s="37" t="s">
        <v>137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4" t="s">
        <v>138</v>
      </c>
      <c r="C54" s="4" t="s">
        <v>139</v>
      </c>
      <c r="D54" s="40">
        <f>D52*D53</f>
        <v>0.9389287315</v>
      </c>
      <c r="E54" s="4" t="s">
        <v>11</v>
      </c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4" t="s">
        <v>140</v>
      </c>
      <c r="C55" s="4" t="s">
        <v>141</v>
      </c>
      <c r="D55" s="20">
        <f>23000*7*0.03</f>
        <v>4830</v>
      </c>
      <c r="E55" s="3"/>
      <c r="F55" s="5" t="s">
        <v>142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4" t="s">
        <v>143</v>
      </c>
      <c r="C56" s="4" t="s">
        <v>144</v>
      </c>
      <c r="D56" s="39">
        <f>(D50-D55)/D50</f>
        <v>0.9535964912</v>
      </c>
      <c r="E56" s="3"/>
      <c r="F56" s="2" t="s">
        <v>145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4" t="s">
        <v>146</v>
      </c>
      <c r="C57" s="4" t="s">
        <v>147</v>
      </c>
      <c r="D57" s="39">
        <f>D49*D54*D56</f>
        <v>0.8271413043</v>
      </c>
      <c r="E57" s="3"/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I7:L7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