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kV2AuJzJ+A8xkox+nSvVMVjdNXlG4gx5p3P4JEOWdio="/>
    </ext>
  </extLst>
</workbook>
</file>

<file path=xl/sharedStrings.xml><?xml version="1.0" encoding="utf-8"?>
<sst xmlns="http://schemas.openxmlformats.org/spreadsheetml/2006/main" count="486" uniqueCount="274">
  <si>
    <t>FLOW PROCESS CHART</t>
  </si>
  <si>
    <t>Tipo de elemento</t>
  </si>
  <si>
    <t>○</t>
  </si>
  <si>
    <t>Operación</t>
  </si>
  <si>
    <t>Operación: Embotellado de Gaseosa 400ml retornable</t>
  </si>
  <si>
    <t>➪</t>
  </si>
  <si>
    <t>Transporte</t>
  </si>
  <si>
    <t>Número de operación</t>
  </si>
  <si>
    <t>Descripción</t>
  </si>
  <si>
    <t>Cantitad</t>
  </si>
  <si>
    <t>Distancia</t>
  </si>
  <si>
    <t>Tiempo</t>
  </si>
  <si>
    <t>Simbolo</t>
  </si>
  <si>
    <t>Observaciones</t>
  </si>
  <si>
    <t>D</t>
  </si>
  <si>
    <t>Pausa</t>
  </si>
  <si>
    <t>m</t>
  </si>
  <si>
    <t>s</t>
  </si>
  <si>
    <t>□</t>
  </si>
  <si>
    <t>▽</t>
  </si>
  <si>
    <t>Inspeccion</t>
  </si>
  <si>
    <t xml:space="preserve">Saneamiento previo a cambio de sabor </t>
  </si>
  <si>
    <t>Única vez</t>
  </si>
  <si>
    <t>2-3 hs</t>
  </si>
  <si>
    <t>●</t>
  </si>
  <si>
    <t>Depende del producto anterior</t>
  </si>
  <si>
    <t>Almacenamiento</t>
  </si>
  <si>
    <t>.</t>
  </si>
  <si>
    <t>Recepción de agua de red o pozo</t>
  </si>
  <si>
    <t>1 Lote</t>
  </si>
  <si>
    <t>Agua acueducto</t>
  </si>
  <si>
    <t>Tratamiento y purificación del agua (filtración, carbón activado, UV)</t>
  </si>
  <si>
    <t>Control de calidad del agua</t>
  </si>
  <si>
    <t>1 muestra</t>
  </si>
  <si>
    <t>pH, conductividad</t>
  </si>
  <si>
    <t>Nota: 20000 / h</t>
  </si>
  <si>
    <t>Refinamiento de azucar</t>
  </si>
  <si>
    <t>1 lote</t>
  </si>
  <si>
    <t>Preparación del jarabe simple (agua + azúcar)</t>
  </si>
  <si>
    <t>Disolución azúcar</t>
  </si>
  <si>
    <t>Mezcla con concentrado Coca-Cola (jarabe terminado)</t>
  </si>
  <si>
    <t>Verificación del jarabe</t>
  </si>
  <si>
    <t>Medición de °Brix</t>
  </si>
  <si>
    <t>EL ETIQUETADO SE HACE ANTES O DESPUÉS DEL LLENADO? ATT. SERGIO BOLAÑOS. EN EL LAYOUT DE PLANTA ESTÁ DESPUÉS</t>
  </si>
  <si>
    <t>Envío del jarabe a tanque de mezcla</t>
  </si>
  <si>
    <t xml:space="preserve">Bombeo por tubería </t>
  </si>
  <si>
    <t>Enfriamiento del jarabe</t>
  </si>
  <si>
    <t>Carbonatación (mezcla con CO₂)</t>
  </si>
  <si>
    <t>Proceso en carbonatador</t>
  </si>
  <si>
    <t>Envío a línea de llenado</t>
  </si>
  <si>
    <t>Recepción de botellas de vidrio retornables</t>
  </si>
  <si>
    <t>1 Botella</t>
  </si>
  <si>
    <t>0.18</t>
  </si>
  <si>
    <t>Rectificado de etiquetado</t>
  </si>
  <si>
    <t xml:space="preserve">1 Botella </t>
  </si>
  <si>
    <t>Cuando es necesario se corrige la impresión</t>
  </si>
  <si>
    <t>1440 botellas es 1 pallet = 1 lote</t>
  </si>
  <si>
    <t>Lavado y desinfección de botellas</t>
  </si>
  <si>
    <t>Lavadora industrial</t>
  </si>
  <si>
    <t>Inspección automática de botellas</t>
  </si>
  <si>
    <t>Cámaras detectan defectos</t>
  </si>
  <si>
    <t>Botellas limpias a llenadora</t>
  </si>
  <si>
    <t>Llenado de bebida (400 ml)</t>
  </si>
  <si>
    <t>Tapado con tapa corona</t>
  </si>
  <si>
    <t>Verificación de nivel y sellado</t>
  </si>
  <si>
    <t>Sensor o visión artificial</t>
  </si>
  <si>
    <t>Codificación de lote y fecha</t>
  </si>
  <si>
    <t>Control final de calidad</t>
  </si>
  <si>
    <t>1 Muestra</t>
  </si>
  <si>
    <t>Transporte a bodega</t>
  </si>
  <si>
    <t>1 botella</t>
  </si>
  <si>
    <t>Bandas muy largas</t>
  </si>
  <si>
    <t>Empaque en canastillas</t>
  </si>
  <si>
    <t>24 botellas</t>
  </si>
  <si>
    <t>Almacenamiento en bodega</t>
  </si>
  <si>
    <t>1440 u en palets</t>
  </si>
  <si>
    <t>Nota: 30000/h(max)</t>
  </si>
  <si>
    <t>Operación: Envasado Monster Energy</t>
  </si>
  <si>
    <t>3 hs</t>
  </si>
  <si>
    <t>Tratamiento y purificación de agua</t>
  </si>
  <si>
    <t>Osmosis inversa</t>
  </si>
  <si>
    <t>Preparación del jarabe base</t>
  </si>
  <si>
    <t>Mezcla azúcar, cafeína, aditivos</t>
  </si>
  <si>
    <t>Mezcla con concentrado Monster</t>
  </si>
  <si>
    <t>Verificación de jarabe</t>
  </si>
  <si>
    <t>Control °Brix</t>
  </si>
  <si>
    <t>Transporte a tanque de mezcla</t>
  </si>
  <si>
    <t>Enfriamiento de bebida</t>
  </si>
  <si>
    <t>Carbonatación</t>
  </si>
  <si>
    <t>Transporte a línea de llenado</t>
  </si>
  <si>
    <t>Recepción de latas vacías</t>
  </si>
  <si>
    <t>1 Lata</t>
  </si>
  <si>
    <t>Latas de aluminio nuevas</t>
  </si>
  <si>
    <t>Enjuague de latas</t>
  </si>
  <si>
    <t>Aire ionizado o agua estéril</t>
  </si>
  <si>
    <t>Transporte a llenadora</t>
  </si>
  <si>
    <t>Llenado de bebida</t>
  </si>
  <si>
    <t>Sellado de lata</t>
  </si>
  <si>
    <t>Inspección de sellado</t>
  </si>
  <si>
    <t>Control de peso</t>
  </si>
  <si>
    <t>Báscula</t>
  </si>
  <si>
    <t>Empaque en bandejas o packs</t>
  </si>
  <si>
    <t>12 Latas</t>
  </si>
  <si>
    <t>Empaque termoencogible</t>
  </si>
  <si>
    <t>Almacenamiento producto terminado</t>
  </si>
  <si>
    <t>1440 u en palet</t>
  </si>
  <si>
    <t>Nota: 15000/h(max)</t>
  </si>
  <si>
    <t>Operación: Envasado agua 1L</t>
  </si>
  <si>
    <t xml:space="preserve">^ No tengo el dato </t>
  </si>
  <si>
    <t>Dejo un poco menos dado que es más volumen</t>
  </si>
  <si>
    <t>Saneamiento previo a cambio de producto</t>
  </si>
  <si>
    <t>Recepción de agua cruda</t>
  </si>
  <si>
    <t>Filtración primaria</t>
  </si>
  <si>
    <t>Remoción de partículas</t>
  </si>
  <si>
    <t>Tratamiento y purificación</t>
  </si>
  <si>
    <t>pH, conductividad, microbiología</t>
  </si>
  <si>
    <t>Transporte a tanque de almacenamiento</t>
  </si>
  <si>
    <t>Recepción de preformas PET</t>
  </si>
  <si>
    <t>Soplado de botellas</t>
  </si>
  <si>
    <t>Moldeo por soplado</t>
  </si>
  <si>
    <t>Inspección de botellas</t>
  </si>
  <si>
    <t>Llenado de agua</t>
  </si>
  <si>
    <t>Colocación de tapa</t>
  </si>
  <si>
    <t>Inspección de nivel y tapa</t>
  </si>
  <si>
    <t>Sensor de nivel</t>
  </si>
  <si>
    <t>Etiquetado</t>
  </si>
  <si>
    <t>Codificación lote y fecha</t>
  </si>
  <si>
    <t>10 botellas</t>
  </si>
  <si>
    <t>Empaque en packs</t>
  </si>
  <si>
    <t>640 u en palet</t>
  </si>
  <si>
    <t>Cálculos indicadores para botellas no retornables</t>
  </si>
  <si>
    <t>Indicador</t>
  </si>
  <si>
    <t>Siglas</t>
  </si>
  <si>
    <t>Valor</t>
  </si>
  <si>
    <t>Unidad</t>
  </si>
  <si>
    <t>Análisis</t>
  </si>
  <si>
    <t>Fórmula</t>
  </si>
  <si>
    <t>Tiempo netro de trabajo disponible</t>
  </si>
  <si>
    <t>T_D</t>
  </si>
  <si>
    <t>Valor tomado de Coca Cola a partir de su producción mínima por hora.</t>
  </si>
  <si>
    <t>-</t>
  </si>
  <si>
    <t>Demanda mínima</t>
  </si>
  <si>
    <t>botella</t>
  </si>
  <si>
    <t>Takt time</t>
  </si>
  <si>
    <t>Takt</t>
  </si>
  <si>
    <t>s / botella</t>
  </si>
  <si>
    <t>T_D / D</t>
  </si>
  <si>
    <t>Tiempo de operación total (procesos)</t>
  </si>
  <si>
    <t>T_o_total</t>
  </si>
  <si>
    <t>Valor tomado de acuerdo a VSM (para una botella desde el lavado hasta el embalaje)</t>
  </si>
  <si>
    <t>Si hubieran 1440 botellas en linea y se hicieran durante los 136 segundos (dan los cálculos para la producción)</t>
  </si>
  <si>
    <t>Tiempo de manipulación de la parte total</t>
  </si>
  <si>
    <t>T_h_total</t>
  </si>
  <si>
    <t>Valor tomado principalmente de desplazamientos (para una botella desde el lavado hasta el almacenamiento)</t>
  </si>
  <si>
    <t>Tiempo de manipulación de la herramienta total</t>
  </si>
  <si>
    <t>T_th_total</t>
  </si>
  <si>
    <t>Valor tomado de preparación para una producción de 8 horas con cambio de bebida</t>
  </si>
  <si>
    <t>Tiempo de ciclo de una botella</t>
  </si>
  <si>
    <t>T_C</t>
  </si>
  <si>
    <t>Tamaño de lote</t>
  </si>
  <si>
    <t>Q</t>
  </si>
  <si>
    <t>Tiempo de alistamiento de un lote</t>
  </si>
  <si>
    <t>T_su</t>
  </si>
  <si>
    <t>Si se toman 1h por cada 8h de trabajo, y en esas 7h restantes producen minimo 140.000 botellas, para 1440 botellas sería...</t>
  </si>
  <si>
    <t>Tiempo de producción de un lote</t>
  </si>
  <si>
    <t>T_b</t>
  </si>
  <si>
    <t>min</t>
  </si>
  <si>
    <t>cantidad de lotes requerida</t>
  </si>
  <si>
    <t>&lt; 3600</t>
  </si>
  <si>
    <t>Tiempo no operativo de un lote</t>
  </si>
  <si>
    <t>T_no</t>
  </si>
  <si>
    <t>Estimado mientras se mantengan botellas seguidas siempre, ya que solo se cuenta el tiempo en que la primera botella llega al final de la línea (por cada 8 horas), de ahí en adelante todas las botellas van de seguido y el tiempo entre cada una es mínimo (distancia minima). Todo esto bajo supuestos de errores infimos</t>
  </si>
  <si>
    <t>Tiempo total de fabricación de un lote</t>
  </si>
  <si>
    <t>T_no + T_b</t>
  </si>
  <si>
    <t>Tiempo de producción por unidad</t>
  </si>
  <si>
    <t>T_p</t>
  </si>
  <si>
    <t>Tasa de producción</t>
  </si>
  <si>
    <t>R_p</t>
  </si>
  <si>
    <t>botella / hora</t>
  </si>
  <si>
    <t>Número de estaciones</t>
  </si>
  <si>
    <t>n</t>
  </si>
  <si>
    <t>estaciones</t>
  </si>
  <si>
    <t>Solo se tiene 2 líneas de botellas retornables</t>
  </si>
  <si>
    <t>Número de turnos por periodo</t>
  </si>
  <si>
    <t>S</t>
  </si>
  <si>
    <t>turnos / semana</t>
  </si>
  <si>
    <t>Número de horas en donde se produce por turno</t>
  </si>
  <si>
    <t>H</t>
  </si>
  <si>
    <t>horas</t>
  </si>
  <si>
    <t xml:space="preserve">Capacidad de producción </t>
  </si>
  <si>
    <t>PC</t>
  </si>
  <si>
    <t>botellas / semana</t>
  </si>
  <si>
    <t>Cantidad realmente producida por la fabrica</t>
  </si>
  <si>
    <t>Cambiar de acuerdo a lo que haga la fabrica</t>
  </si>
  <si>
    <t>Utilización: Fracción en la que se está usando la planta de producción con relación a la capacidad</t>
  </si>
  <si>
    <t>U</t>
  </si>
  <si>
    <t>%</t>
  </si>
  <si>
    <t>Revisar si dejar 20000 por hora o 40000 por hora</t>
  </si>
  <si>
    <t>Lavado tiempo de operación</t>
  </si>
  <si>
    <t>Tc1</t>
  </si>
  <si>
    <t>Lavado tiempo de no operación (después de terminar la operación)</t>
  </si>
  <si>
    <t>Tno1</t>
  </si>
  <si>
    <t>Llenado tiempo de operación</t>
  </si>
  <si>
    <t>Tc2</t>
  </si>
  <si>
    <t>Llenado tiempo de no operación (después de terminar la operación)</t>
  </si>
  <si>
    <t>Tno2</t>
  </si>
  <si>
    <t>Sellado tiempo de operación</t>
  </si>
  <si>
    <t>Tc3</t>
  </si>
  <si>
    <t>Sellado tiempo de no operación (después de terminar la operación)</t>
  </si>
  <si>
    <t>Tno3</t>
  </si>
  <si>
    <t>Etiquetado tiempo de operación</t>
  </si>
  <si>
    <t>Tc4</t>
  </si>
  <si>
    <t>Etiquetado tiempo de no operación (después de terminar la operación)</t>
  </si>
  <si>
    <t>Tno4</t>
  </si>
  <si>
    <t>Empaque tiempo de operación</t>
  </si>
  <si>
    <t>Tc5</t>
  </si>
  <si>
    <t>Empaque tiempo de no operación (después de terminar la operación)</t>
  </si>
  <si>
    <t>Tno5</t>
  </si>
  <si>
    <t>Paletizado tiempo de operación</t>
  </si>
  <si>
    <t>Tc6</t>
  </si>
  <si>
    <t>Paletizado tiempo de no operación (después de terminar la operación)</t>
  </si>
  <si>
    <t>Tno6</t>
  </si>
  <si>
    <t>Embalaje tiempo de operación</t>
  </si>
  <si>
    <t>Tc7</t>
  </si>
  <si>
    <t>Embalaje tiempo de no operación (después de terminar la operación)</t>
  </si>
  <si>
    <t>Tno7</t>
  </si>
  <si>
    <t>Almacenamiento tiempo de operación</t>
  </si>
  <si>
    <t>Tc8</t>
  </si>
  <si>
    <t>TIempo si se toma 1 pallet por cada trayecto, si se mueven 2 pallets por trayecto se reduce a la mitad, como en Tocancipá</t>
  </si>
  <si>
    <t>Tiempo de alistamiento más alto</t>
  </si>
  <si>
    <t>T_su_max</t>
  </si>
  <si>
    <t>Se podría dejar igual a T_su pero este se hace con una división de un valor más grande, o dejar el tiempo que se considere que se demora en alistarse la máquina más demorada (desconocido). Se deja en 120s por ahora</t>
  </si>
  <si>
    <t>Manufacturing Lead Time</t>
  </si>
  <si>
    <t>MLT</t>
  </si>
  <si>
    <t>Tiempo total de la planta</t>
  </si>
  <si>
    <t>Tt</t>
  </si>
  <si>
    <t>Se tomó por cada turno</t>
  </si>
  <si>
    <t>Tiempo de inactividad planeada</t>
  </si>
  <si>
    <t>Tip</t>
  </si>
  <si>
    <t>1h de preparación</t>
  </si>
  <si>
    <t>Tiempo de ejecución planeado</t>
  </si>
  <si>
    <t>Tep</t>
  </si>
  <si>
    <t>Tiempo de inactividad no planeada</t>
  </si>
  <si>
    <t>Tnp</t>
  </si>
  <si>
    <t>3% por fallas asumido</t>
  </si>
  <si>
    <t>Tiempo de ejecución real (disponible para producir)</t>
  </si>
  <si>
    <t>Ter</t>
  </si>
  <si>
    <t>Disponibilidad (cálculo por tiempos de ejecución)</t>
  </si>
  <si>
    <t>A</t>
  </si>
  <si>
    <t>Tiempo promedio entre fallas</t>
  </si>
  <si>
    <t>MTBF</t>
  </si>
  <si>
    <t>Tiempo promedio de reparación</t>
  </si>
  <si>
    <t>MTTR</t>
  </si>
  <si>
    <t>Disponibilidad (cálculo por tiempos entre fallas)</t>
  </si>
  <si>
    <t>Volumen real de producción por turno</t>
  </si>
  <si>
    <t>VRP</t>
  </si>
  <si>
    <t>botellas</t>
  </si>
  <si>
    <t>Se asume el 97%</t>
  </si>
  <si>
    <t>Tiempo de ciclo real</t>
  </si>
  <si>
    <t>Tc</t>
  </si>
  <si>
    <t>Cambiar de acuerdo a lo que haga la fabrica. Aqui se asume igual a T_p (tiempo de producción por unidad calculado)</t>
  </si>
  <si>
    <t>Tasa de eficiencia (Rate Efficiency)</t>
  </si>
  <si>
    <t>RE</t>
  </si>
  <si>
    <t>Eficiencia en velocidad (Speed Efficiency)</t>
  </si>
  <si>
    <t>SE</t>
  </si>
  <si>
    <t>Eficiencia de desempeño (Performance Efficiency</t>
  </si>
  <si>
    <t>PE</t>
  </si>
  <si>
    <t>Cantidad de defectuosos</t>
  </si>
  <si>
    <t>Defect</t>
  </si>
  <si>
    <t>Cambiar de acuerdo a lo que haga la fabrica. Se deja como el 3% de lo planeado, o sea de 23.000 por hora</t>
  </si>
  <si>
    <t>Tasa de calidad (Quality Rate)</t>
  </si>
  <si>
    <t>QR</t>
  </si>
  <si>
    <t>Eficiencia general del equipamiento (Overall Equipment Effectiveness)</t>
  </si>
  <si>
    <t>OEE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</si>
</sst>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Swis721 LtEx BT"/>
    </font>
    <font>
      <sz val="9.0"/>
      <color theme="1"/>
      <name val="Arial"/>
    </font>
    <font>
      <sz val="11.0"/>
      <color rgb="FF000000"/>
      <name val="Arial"/>
    </font>
    <font>
      <color theme="1"/>
      <name val="Arial"/>
    </font>
    <font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ck">
        <color rgb="FF000000"/>
      </top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4" numFmtId="0" xfId="0" applyFont="1"/>
    <xf borderId="5" fillId="0" fontId="1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7" fillId="0" fontId="3" numFmtId="0" xfId="0" applyBorder="1" applyFont="1"/>
    <xf borderId="1" fillId="0" fontId="5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wrapText="1"/>
    </xf>
    <xf borderId="0" fillId="3" fontId="7" numFmtId="0" xfId="0" applyAlignment="1" applyFill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8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0" fillId="0" fontId="1" numFmtId="0" xfId="0" applyAlignment="1" applyFont="1">
      <alignment vertical="bottom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shrinkToFit="0" vertical="center" wrapText="1"/>
    </xf>
    <xf borderId="0" fillId="0" fontId="9" numFmtId="4" xfId="0" applyAlignment="1" applyFont="1" applyNumberFormat="1">
      <alignment readingOrder="0"/>
    </xf>
    <xf borderId="0" fillId="0" fontId="4" numFmtId="4" xfId="0" applyFont="1" applyNumberFormat="1"/>
    <xf borderId="9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 shrinkToFit="0" wrapText="1"/>
    </xf>
    <xf borderId="9" fillId="0" fontId="4" numFmtId="0" xfId="0" applyBorder="1" applyFont="1"/>
    <xf borderId="0" fillId="0" fontId="9" numFmtId="0" xfId="0" applyAlignment="1" applyFont="1">
      <alignment readingOrder="0" shrinkToFit="0" wrapText="1"/>
    </xf>
    <xf borderId="10" fillId="0" fontId="9" numFmtId="0" xfId="0" applyAlignment="1" applyBorder="1" applyFont="1">
      <alignment readingOrder="0"/>
    </xf>
    <xf borderId="10" fillId="0" fontId="4" numFmtId="4" xfId="0" applyBorder="1" applyFont="1" applyNumberFormat="1"/>
    <xf borderId="10" fillId="0" fontId="4" numFmtId="0" xfId="0" applyBorder="1" applyFont="1"/>
    <xf borderId="0" fillId="3" fontId="9" numFmtId="0" xfId="0" applyAlignment="1" applyFont="1">
      <alignment readingOrder="0"/>
    </xf>
    <xf borderId="10" fillId="0" fontId="4" numFmtId="3" xfId="0" applyBorder="1" applyFont="1" applyNumberFormat="1"/>
    <xf borderId="0" fillId="0" fontId="5" numFmtId="0" xfId="0" applyAlignment="1" applyFont="1">
      <alignment readingOrder="0" vertical="bottom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13"/>
    <col customWidth="1" min="3" max="3" width="32.0"/>
    <col customWidth="1" min="4" max="4" width="10.0"/>
    <col customWidth="1" min="5" max="5" width="9.38"/>
    <col customWidth="1" min="6" max="6" width="7.63"/>
    <col customWidth="1" min="7" max="11" width="3.38"/>
    <col customWidth="1" min="12" max="12" width="17.13"/>
    <col customWidth="1" min="13" max="13" width="10.63"/>
    <col customWidth="1" min="14" max="14" width="29.38"/>
    <col customWidth="1" min="15" max="18" width="10.63"/>
    <col customWidth="1" min="19" max="19" width="32.13"/>
    <col customWidth="1" min="20" max="20" width="10.63"/>
    <col customWidth="1" min="21" max="21" width="27.13"/>
    <col customWidth="1" min="22" max="26" width="10.63"/>
  </cols>
  <sheetData>
    <row r="2">
      <c r="B2" s="1"/>
      <c r="C2" s="2" t="s">
        <v>0</v>
      </c>
      <c r="D2" s="3"/>
      <c r="E2" s="4"/>
      <c r="F2" s="5" t="s">
        <v>1</v>
      </c>
      <c r="G2" s="3"/>
      <c r="H2" s="3"/>
      <c r="I2" s="3"/>
      <c r="J2" s="3"/>
      <c r="K2" s="3"/>
      <c r="L2" s="4"/>
      <c r="N2" s="6" t="s">
        <v>2</v>
      </c>
      <c r="O2" s="7" t="s">
        <v>3</v>
      </c>
    </row>
    <row r="3" ht="15.0" customHeight="1">
      <c r="B3" s="8"/>
      <c r="C3" s="9" t="s">
        <v>4</v>
      </c>
      <c r="D3" s="3"/>
      <c r="E3" s="4"/>
      <c r="F3" s="5"/>
      <c r="G3" s="3"/>
      <c r="H3" s="3"/>
      <c r="I3" s="3"/>
      <c r="J3" s="3"/>
      <c r="K3" s="3"/>
      <c r="L3" s="4"/>
      <c r="N3" s="6" t="s">
        <v>5</v>
      </c>
      <c r="O3" s="10" t="s">
        <v>6</v>
      </c>
    </row>
    <row r="4">
      <c r="B4" s="8" t="s">
        <v>7</v>
      </c>
      <c r="C4" s="11" t="s">
        <v>8</v>
      </c>
      <c r="D4" s="12" t="s">
        <v>9</v>
      </c>
      <c r="E4" s="1" t="s">
        <v>10</v>
      </c>
      <c r="F4" s="1" t="s">
        <v>11</v>
      </c>
      <c r="G4" s="5" t="s">
        <v>12</v>
      </c>
      <c r="H4" s="3"/>
      <c r="I4" s="3"/>
      <c r="J4" s="3"/>
      <c r="K4" s="4"/>
      <c r="L4" s="11" t="s">
        <v>13</v>
      </c>
      <c r="N4" s="13" t="s">
        <v>14</v>
      </c>
      <c r="O4" s="14" t="s">
        <v>15</v>
      </c>
    </row>
    <row r="5">
      <c r="B5" s="15"/>
      <c r="C5" s="15"/>
      <c r="D5" s="15"/>
      <c r="E5" s="1" t="s">
        <v>16</v>
      </c>
      <c r="F5" s="1" t="s">
        <v>17</v>
      </c>
      <c r="G5" s="6" t="s">
        <v>2</v>
      </c>
      <c r="H5" s="6" t="s">
        <v>5</v>
      </c>
      <c r="I5" s="13" t="s">
        <v>14</v>
      </c>
      <c r="J5" s="6" t="s">
        <v>18</v>
      </c>
      <c r="K5" s="6" t="s">
        <v>19</v>
      </c>
      <c r="L5" s="15"/>
      <c r="N5" s="6" t="s">
        <v>18</v>
      </c>
      <c r="O5" s="7" t="s">
        <v>20</v>
      </c>
    </row>
    <row r="6">
      <c r="A6" s="14"/>
      <c r="B6" s="16">
        <v>1.0</v>
      </c>
      <c r="C6" s="16" t="s">
        <v>21</v>
      </c>
      <c r="D6" s="16" t="s">
        <v>22</v>
      </c>
      <c r="E6" s="17"/>
      <c r="F6" s="16" t="s">
        <v>23</v>
      </c>
      <c r="G6" s="18" t="s">
        <v>24</v>
      </c>
      <c r="H6" s="17"/>
      <c r="I6" s="17"/>
      <c r="J6" s="17"/>
      <c r="K6" s="17"/>
      <c r="L6" s="16" t="s">
        <v>25</v>
      </c>
      <c r="M6" s="14"/>
      <c r="N6" s="6" t="s">
        <v>19</v>
      </c>
      <c r="O6" s="7" t="s">
        <v>26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9" t="s">
        <v>27</v>
      </c>
      <c r="B7" s="16">
        <v>2.0</v>
      </c>
      <c r="C7" s="20" t="s">
        <v>28</v>
      </c>
      <c r="D7" s="17" t="s">
        <v>29</v>
      </c>
      <c r="E7" s="17">
        <v>50.0</v>
      </c>
      <c r="F7" s="17">
        <f>N11*O11</f>
        <v>259.2</v>
      </c>
      <c r="G7" s="18" t="s">
        <v>24</v>
      </c>
      <c r="H7" s="17"/>
      <c r="I7" s="17"/>
      <c r="J7" s="17"/>
      <c r="K7" s="17"/>
      <c r="L7" s="17" t="s">
        <v>30</v>
      </c>
      <c r="M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3.0" customHeight="1">
      <c r="A8" s="14"/>
      <c r="B8" s="16">
        <v>3.0</v>
      </c>
      <c r="C8" s="17" t="s">
        <v>31</v>
      </c>
      <c r="D8" s="17" t="s">
        <v>29</v>
      </c>
      <c r="E8" s="17"/>
      <c r="F8" s="17">
        <f>F7</f>
        <v>259.2</v>
      </c>
      <c r="G8" s="18" t="s">
        <v>24</v>
      </c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9" t="s">
        <v>27</v>
      </c>
      <c r="B9" s="16">
        <v>4.0</v>
      </c>
      <c r="C9" s="21" t="s">
        <v>32</v>
      </c>
      <c r="D9" s="17" t="s">
        <v>33</v>
      </c>
      <c r="E9" s="17"/>
      <c r="F9" s="22">
        <v>30.0</v>
      </c>
      <c r="G9" s="17"/>
      <c r="H9" s="17"/>
      <c r="I9" s="17"/>
      <c r="J9" s="18" t="s">
        <v>24</v>
      </c>
      <c r="K9" s="17"/>
      <c r="L9" s="17" t="s">
        <v>34</v>
      </c>
      <c r="M9" s="14"/>
      <c r="N9" s="19" t="s">
        <v>35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6">
        <v>5.0</v>
      </c>
      <c r="C10" s="16" t="s">
        <v>36</v>
      </c>
      <c r="D10" s="16" t="s">
        <v>37</v>
      </c>
      <c r="E10" s="17"/>
      <c r="F10" s="16">
        <v>240.0</v>
      </c>
      <c r="G10" s="18" t="s">
        <v>24</v>
      </c>
      <c r="H10" s="17"/>
      <c r="I10" s="17"/>
      <c r="J10" s="17"/>
      <c r="K10" s="17"/>
      <c r="L10" s="17"/>
      <c r="M10" s="14"/>
      <c r="N10" s="19">
        <v>20000.0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6">
        <v>6.0</v>
      </c>
      <c r="C11" s="17" t="s">
        <v>38</v>
      </c>
      <c r="D11" s="17" t="s">
        <v>29</v>
      </c>
      <c r="E11" s="17"/>
      <c r="F11" s="17">
        <f>F8</f>
        <v>259.2</v>
      </c>
      <c r="G11" s="18" t="s">
        <v>24</v>
      </c>
      <c r="H11" s="17"/>
      <c r="I11" s="17"/>
      <c r="J11" s="17"/>
      <c r="K11" s="17"/>
      <c r="L11" s="17" t="s">
        <v>39</v>
      </c>
      <c r="M11" s="14"/>
      <c r="N11" s="14">
        <f>1/(20000/3600)</f>
        <v>0.18</v>
      </c>
      <c r="O11" s="19">
        <v>1440.0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6">
        <v>7.0</v>
      </c>
      <c r="C12" s="17" t="s">
        <v>40</v>
      </c>
      <c r="D12" s="17" t="s">
        <v>29</v>
      </c>
      <c r="E12" s="17"/>
      <c r="F12" s="17">
        <f>F11</f>
        <v>259.2</v>
      </c>
      <c r="G12" s="18" t="s">
        <v>24</v>
      </c>
      <c r="H12" s="17"/>
      <c r="I12" s="17"/>
      <c r="J12" s="17"/>
      <c r="K12" s="17"/>
      <c r="L12" s="23"/>
      <c r="M12" s="14"/>
      <c r="U12" s="14"/>
      <c r="V12" s="14"/>
      <c r="W12" s="14"/>
      <c r="X12" s="14"/>
      <c r="Y12" s="14"/>
      <c r="Z12" s="14"/>
    </row>
    <row r="13">
      <c r="A13" s="14"/>
      <c r="B13" s="16">
        <v>8.0</v>
      </c>
      <c r="C13" s="7" t="s">
        <v>41</v>
      </c>
      <c r="D13" s="17" t="s">
        <v>33</v>
      </c>
      <c r="E13" s="17"/>
      <c r="F13" s="17">
        <v>20.0</v>
      </c>
      <c r="G13" s="17"/>
      <c r="H13" s="17"/>
      <c r="I13" s="17"/>
      <c r="J13" s="18" t="s">
        <v>24</v>
      </c>
      <c r="K13" s="17"/>
      <c r="L13" s="23" t="s">
        <v>42</v>
      </c>
      <c r="M13" s="14"/>
      <c r="N13" s="24" t="s">
        <v>43</v>
      </c>
      <c r="U13" s="14"/>
      <c r="V13" s="14"/>
      <c r="W13" s="14"/>
      <c r="X13" s="14"/>
      <c r="Y13" s="14"/>
      <c r="Z13" s="14"/>
    </row>
    <row r="14">
      <c r="A14" s="14"/>
      <c r="B14" s="16">
        <v>9.0</v>
      </c>
      <c r="C14" s="17" t="s">
        <v>44</v>
      </c>
      <c r="D14" s="17" t="s">
        <v>29</v>
      </c>
      <c r="E14" s="17">
        <v>6.0</v>
      </c>
      <c r="F14" s="16">
        <v>100.0</v>
      </c>
      <c r="G14" s="17"/>
      <c r="H14" s="18" t="s">
        <v>24</v>
      </c>
      <c r="I14" s="17"/>
      <c r="J14" s="17"/>
      <c r="K14" s="17"/>
      <c r="L14" s="17" t="s">
        <v>45</v>
      </c>
      <c r="M14" s="14"/>
      <c r="U14" s="14"/>
      <c r="V14" s="14"/>
      <c r="W14" s="14"/>
      <c r="X14" s="14"/>
      <c r="Y14" s="14"/>
      <c r="Z14" s="14"/>
    </row>
    <row r="15">
      <c r="A15" s="14"/>
      <c r="B15" s="16">
        <v>10.0</v>
      </c>
      <c r="C15" s="17" t="s">
        <v>46</v>
      </c>
      <c r="D15" s="17" t="s">
        <v>29</v>
      </c>
      <c r="E15" s="17"/>
      <c r="F15" s="17">
        <f>F11</f>
        <v>259.2</v>
      </c>
      <c r="G15" s="18" t="s">
        <v>24</v>
      </c>
      <c r="H15" s="17"/>
      <c r="I15" s="17"/>
      <c r="J15" s="17"/>
      <c r="K15" s="17"/>
      <c r="L15" s="17"/>
      <c r="M15" s="14"/>
      <c r="N15" s="14"/>
      <c r="U15" s="14"/>
      <c r="V15" s="14"/>
      <c r="W15" s="14"/>
      <c r="X15" s="14"/>
      <c r="Y15" s="14"/>
      <c r="Z15" s="14"/>
    </row>
    <row r="16">
      <c r="A16" s="14"/>
      <c r="B16" s="16">
        <v>11.0</v>
      </c>
      <c r="C16" s="25" t="s">
        <v>47</v>
      </c>
      <c r="D16" s="17" t="s">
        <v>29</v>
      </c>
      <c r="E16" s="17"/>
      <c r="F16" s="17">
        <v>30.0</v>
      </c>
      <c r="G16" s="18" t="s">
        <v>24</v>
      </c>
      <c r="H16" s="17"/>
      <c r="I16" s="17"/>
      <c r="J16" s="17"/>
      <c r="K16" s="17"/>
      <c r="L16" s="17" t="s">
        <v>48</v>
      </c>
      <c r="M16" s="14"/>
      <c r="N16" s="14"/>
      <c r="U16" s="14"/>
      <c r="V16" s="14"/>
      <c r="W16" s="14"/>
      <c r="X16" s="14"/>
      <c r="Y16" s="14"/>
      <c r="Z16" s="14"/>
    </row>
    <row r="17">
      <c r="A17" s="14"/>
      <c r="B17" s="16">
        <v>12.0</v>
      </c>
      <c r="C17" s="21" t="s">
        <v>49</v>
      </c>
      <c r="D17" s="17" t="s">
        <v>29</v>
      </c>
      <c r="E17" s="17">
        <v>8.0</v>
      </c>
      <c r="F17" s="16">
        <v>8.0</v>
      </c>
      <c r="G17" s="17"/>
      <c r="H17" s="18" t="s">
        <v>24</v>
      </c>
      <c r="I17" s="17"/>
      <c r="J17" s="17"/>
      <c r="K17" s="17"/>
      <c r="L17" s="17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6">
        <v>13.0</v>
      </c>
      <c r="C18" s="17" t="s">
        <v>50</v>
      </c>
      <c r="D18" s="17" t="s">
        <v>51</v>
      </c>
      <c r="E18" s="17"/>
      <c r="F18" s="26">
        <f>N11</f>
        <v>0.18</v>
      </c>
      <c r="G18" s="18" t="s">
        <v>24</v>
      </c>
      <c r="H18" s="17"/>
      <c r="I18" s="17"/>
      <c r="J18" s="17"/>
      <c r="K18" s="17"/>
      <c r="L18" s="17"/>
      <c r="M18" s="14"/>
      <c r="N18" s="14"/>
      <c r="O18" s="19" t="s">
        <v>52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6">
        <v>14.0</v>
      </c>
      <c r="C19" s="16" t="s">
        <v>53</v>
      </c>
      <c r="D19" s="16" t="s">
        <v>54</v>
      </c>
      <c r="E19" s="17"/>
      <c r="F19" s="26">
        <f t="shared" ref="F19:F21" si="1">F18</f>
        <v>0.18</v>
      </c>
      <c r="G19" s="18" t="s">
        <v>24</v>
      </c>
      <c r="H19" s="17"/>
      <c r="I19" s="17"/>
      <c r="J19" s="17"/>
      <c r="K19" s="17"/>
      <c r="L19" s="16" t="s">
        <v>55</v>
      </c>
      <c r="M19" s="14"/>
      <c r="N19" s="14"/>
      <c r="O19" s="27" t="s">
        <v>56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6">
        <v>15.0</v>
      </c>
      <c r="C20" s="17" t="s">
        <v>57</v>
      </c>
      <c r="D20" s="17" t="str">
        <f>D18</f>
        <v>1 Botella</v>
      </c>
      <c r="E20" s="28"/>
      <c r="F20" s="26">
        <f t="shared" si="1"/>
        <v>0.18</v>
      </c>
      <c r="G20" s="18" t="s">
        <v>24</v>
      </c>
      <c r="H20" s="17"/>
      <c r="I20" s="17"/>
      <c r="J20" s="17"/>
      <c r="K20" s="17"/>
      <c r="L20" s="17" t="s">
        <v>58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6">
        <v>16.0</v>
      </c>
      <c r="C21" s="17" t="s">
        <v>59</v>
      </c>
      <c r="D21" s="17" t="str">
        <f t="shared" ref="D21:D25" si="2">D20</f>
        <v>1 Botella</v>
      </c>
      <c r="E21" s="16"/>
      <c r="F21" s="26">
        <f t="shared" si="1"/>
        <v>0.18</v>
      </c>
      <c r="G21" s="17"/>
      <c r="H21" s="17"/>
      <c r="I21" s="17"/>
      <c r="J21" s="18" t="s">
        <v>24</v>
      </c>
      <c r="K21" s="17"/>
      <c r="L21" s="17" t="s">
        <v>60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6">
        <v>17.0</v>
      </c>
      <c r="C22" s="17" t="s">
        <v>61</v>
      </c>
      <c r="D22" s="17" t="str">
        <f t="shared" si="2"/>
        <v>1 Botella</v>
      </c>
      <c r="E22" s="16">
        <v>20.0</v>
      </c>
      <c r="F22" s="16">
        <v>20.0</v>
      </c>
      <c r="G22" s="17"/>
      <c r="H22" s="18" t="s">
        <v>24</v>
      </c>
      <c r="I22" s="17"/>
      <c r="J22" s="17"/>
      <c r="K22" s="17"/>
      <c r="L22" s="17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6">
        <v>18.0</v>
      </c>
      <c r="C23" s="17" t="s">
        <v>62</v>
      </c>
      <c r="D23" s="17" t="str">
        <f t="shared" si="2"/>
        <v>1 Botella</v>
      </c>
      <c r="E23" s="17"/>
      <c r="F23" s="17">
        <f>N11</f>
        <v>0.18</v>
      </c>
      <c r="G23" s="18" t="s">
        <v>24</v>
      </c>
      <c r="H23" s="17"/>
      <c r="I23" s="17"/>
      <c r="J23" s="17"/>
      <c r="K23" s="17"/>
      <c r="L23" s="17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6">
        <v>19.0</v>
      </c>
      <c r="C24" s="17" t="s">
        <v>63</v>
      </c>
      <c r="D24" s="17" t="str">
        <f t="shared" si="2"/>
        <v>1 Botella</v>
      </c>
      <c r="E24" s="17"/>
      <c r="F24" s="16">
        <v>0.15</v>
      </c>
      <c r="G24" s="18" t="s">
        <v>24</v>
      </c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6">
        <v>20.0</v>
      </c>
      <c r="C25" s="17" t="s">
        <v>64</v>
      </c>
      <c r="D25" s="17" t="str">
        <f t="shared" si="2"/>
        <v>1 Botella</v>
      </c>
      <c r="E25" s="17"/>
      <c r="F25" s="16">
        <v>0.1</v>
      </c>
      <c r="G25" s="17"/>
      <c r="H25" s="17"/>
      <c r="I25" s="17"/>
      <c r="J25" s="18" t="s">
        <v>24</v>
      </c>
      <c r="K25" s="17"/>
      <c r="L25" s="17" t="s">
        <v>65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B26" s="16">
        <v>21.0</v>
      </c>
      <c r="C26" s="17" t="s">
        <v>66</v>
      </c>
      <c r="D26" s="17" t="s">
        <v>51</v>
      </c>
      <c r="E26" s="17"/>
      <c r="F26" s="16">
        <v>0.12</v>
      </c>
      <c r="G26" s="18" t="s">
        <v>24</v>
      </c>
      <c r="H26" s="17"/>
      <c r="I26" s="17"/>
      <c r="J26" s="17"/>
      <c r="K26" s="17"/>
      <c r="L26" s="17"/>
    </row>
    <row r="27" ht="15.75" customHeight="1">
      <c r="B27" s="16">
        <v>22.0</v>
      </c>
      <c r="C27" s="17" t="s">
        <v>67</v>
      </c>
      <c r="D27" s="17" t="s">
        <v>68</v>
      </c>
      <c r="E27" s="17"/>
      <c r="F27" s="16">
        <v>30.0</v>
      </c>
      <c r="G27" s="17"/>
      <c r="H27" s="17"/>
      <c r="I27" s="17"/>
      <c r="J27" s="18" t="s">
        <v>24</v>
      </c>
      <c r="K27" s="17"/>
      <c r="L27" s="17"/>
    </row>
    <row r="28" ht="15.75" customHeight="1">
      <c r="B28" s="16">
        <v>23.0</v>
      </c>
      <c r="C28" s="16" t="s">
        <v>69</v>
      </c>
      <c r="D28" s="16" t="s">
        <v>70</v>
      </c>
      <c r="E28" s="16">
        <v>100.0</v>
      </c>
      <c r="F28" s="16">
        <v>100.0</v>
      </c>
      <c r="G28" s="18"/>
      <c r="H28" s="18" t="s">
        <v>24</v>
      </c>
      <c r="I28" s="17"/>
      <c r="J28" s="17"/>
      <c r="K28" s="17"/>
      <c r="L28" s="16" t="s">
        <v>71</v>
      </c>
    </row>
    <row r="29" ht="15.75" customHeight="1">
      <c r="B29" s="16">
        <v>24.0</v>
      </c>
      <c r="C29" s="17" t="s">
        <v>72</v>
      </c>
      <c r="D29" s="17" t="s">
        <v>73</v>
      </c>
      <c r="E29" s="17"/>
      <c r="F29" s="16">
        <f>N11*24</f>
        <v>4.32</v>
      </c>
      <c r="G29" s="18" t="s">
        <v>24</v>
      </c>
      <c r="H29" s="17"/>
      <c r="I29" s="17"/>
      <c r="J29" s="17"/>
      <c r="K29" s="17"/>
      <c r="L29" s="17"/>
    </row>
    <row r="30" ht="15.75" customHeight="1">
      <c r="B30" s="16">
        <v>25.0</v>
      </c>
      <c r="C30" s="17" t="s">
        <v>74</v>
      </c>
      <c r="D30" s="17" t="s">
        <v>37</v>
      </c>
      <c r="E30" s="17"/>
      <c r="F30" s="16">
        <v>255.0</v>
      </c>
      <c r="G30" s="17"/>
      <c r="H30" s="17"/>
      <c r="I30" s="17"/>
      <c r="J30" s="17"/>
      <c r="K30" s="18" t="s">
        <v>24</v>
      </c>
      <c r="L30" s="16" t="s">
        <v>75</v>
      </c>
      <c r="M30" s="27"/>
    </row>
    <row r="31" ht="15.75" customHeight="1"/>
    <row r="32" ht="15.75" customHeight="1"/>
    <row r="33" ht="15.75" customHeight="1"/>
    <row r="34" ht="15.75" customHeight="1">
      <c r="B34" s="1"/>
      <c r="C34" s="2" t="s">
        <v>0</v>
      </c>
      <c r="D34" s="3"/>
      <c r="E34" s="4"/>
      <c r="F34" s="5" t="s">
        <v>1</v>
      </c>
      <c r="G34" s="3"/>
      <c r="H34" s="3"/>
      <c r="I34" s="3"/>
      <c r="J34" s="3"/>
      <c r="K34" s="3"/>
      <c r="L34" s="4"/>
      <c r="N34" s="19" t="s">
        <v>76</v>
      </c>
    </row>
    <row r="35" ht="15.75" customHeight="1">
      <c r="B35" s="8" t="s">
        <v>7</v>
      </c>
      <c r="C35" s="29" t="s">
        <v>77</v>
      </c>
      <c r="D35" s="3"/>
      <c r="E35" s="4"/>
      <c r="F35" s="5"/>
      <c r="G35" s="3"/>
      <c r="H35" s="3"/>
      <c r="I35" s="3"/>
      <c r="J35" s="3"/>
      <c r="K35" s="3"/>
      <c r="L35" s="4"/>
      <c r="N35" s="7">
        <f>30000</f>
        <v>30000</v>
      </c>
    </row>
    <row r="36" ht="15.75" customHeight="1">
      <c r="B36" s="30"/>
      <c r="C36" s="11" t="s">
        <v>8</v>
      </c>
      <c r="D36" s="12" t="s">
        <v>9</v>
      </c>
      <c r="E36" s="1" t="s">
        <v>10</v>
      </c>
      <c r="F36" s="1" t="s">
        <v>11</v>
      </c>
      <c r="G36" s="5" t="s">
        <v>12</v>
      </c>
      <c r="H36" s="3"/>
      <c r="I36" s="3"/>
      <c r="J36" s="3"/>
      <c r="K36" s="4"/>
      <c r="L36" s="11" t="s">
        <v>13</v>
      </c>
      <c r="N36" s="14">
        <f>1/(N35/3600)</f>
        <v>0.12</v>
      </c>
    </row>
    <row r="37" ht="15.75" customHeight="1">
      <c r="B37" s="15"/>
      <c r="C37" s="15"/>
      <c r="D37" s="15"/>
      <c r="E37" s="1" t="s">
        <v>16</v>
      </c>
      <c r="F37" s="1" t="s">
        <v>17</v>
      </c>
      <c r="G37" s="6" t="s">
        <v>2</v>
      </c>
      <c r="H37" s="6" t="s">
        <v>5</v>
      </c>
      <c r="I37" s="13" t="s">
        <v>14</v>
      </c>
      <c r="J37" s="6" t="s">
        <v>18</v>
      </c>
      <c r="K37" s="6" t="s">
        <v>19</v>
      </c>
      <c r="L37" s="15"/>
    </row>
    <row r="38" ht="15.75" customHeight="1">
      <c r="B38" s="16">
        <v>1.0</v>
      </c>
      <c r="C38" s="16" t="s">
        <v>21</v>
      </c>
      <c r="D38" s="16" t="s">
        <v>22</v>
      </c>
      <c r="E38" s="17"/>
      <c r="F38" s="16" t="s">
        <v>78</v>
      </c>
      <c r="G38" s="18" t="s">
        <v>24</v>
      </c>
      <c r="H38" s="17"/>
      <c r="I38" s="17"/>
      <c r="J38" s="17"/>
      <c r="K38" s="17"/>
      <c r="L38" s="16" t="s">
        <v>25</v>
      </c>
    </row>
    <row r="39" ht="15.75" customHeight="1">
      <c r="B39" s="16">
        <v>2.0</v>
      </c>
      <c r="C39" s="20" t="s">
        <v>28</v>
      </c>
      <c r="D39" s="17" t="s">
        <v>29</v>
      </c>
      <c r="E39" s="17">
        <v>50.0</v>
      </c>
      <c r="F39" s="17">
        <v>10.0</v>
      </c>
      <c r="G39" s="18" t="s">
        <v>24</v>
      </c>
      <c r="H39" s="18"/>
      <c r="I39" s="18"/>
      <c r="J39" s="18"/>
      <c r="K39" s="18"/>
      <c r="L39" s="17" t="s">
        <v>30</v>
      </c>
    </row>
    <row r="40" ht="15.75" customHeight="1">
      <c r="B40" s="16">
        <v>3.0</v>
      </c>
      <c r="C40" s="1" t="s">
        <v>79</v>
      </c>
      <c r="D40" s="17" t="str">
        <f>D39</f>
        <v>1 Lote</v>
      </c>
      <c r="E40" s="17"/>
      <c r="F40" s="17">
        <v>60.0</v>
      </c>
      <c r="G40" s="18" t="s">
        <v>24</v>
      </c>
      <c r="H40" s="18"/>
      <c r="I40" s="18"/>
      <c r="J40" s="18"/>
      <c r="K40" s="18"/>
      <c r="L40" s="17" t="s">
        <v>80</v>
      </c>
    </row>
    <row r="41" ht="15.0" customHeight="1">
      <c r="B41" s="16">
        <v>4.0</v>
      </c>
      <c r="C41" s="21" t="s">
        <v>32</v>
      </c>
      <c r="D41" s="17" t="s">
        <v>33</v>
      </c>
      <c r="E41" s="17"/>
      <c r="F41" s="17">
        <v>30.0</v>
      </c>
      <c r="G41" s="18"/>
      <c r="H41" s="18"/>
      <c r="I41" s="18"/>
      <c r="J41" s="18" t="s">
        <v>24</v>
      </c>
      <c r="K41" s="18"/>
      <c r="L41" s="17" t="s">
        <v>34</v>
      </c>
    </row>
    <row r="42" ht="15.75" customHeight="1">
      <c r="A42" s="31"/>
      <c r="B42" s="16">
        <v>5.0</v>
      </c>
      <c r="C42" s="32" t="s">
        <v>36</v>
      </c>
      <c r="D42" s="32" t="s">
        <v>37</v>
      </c>
      <c r="E42" s="1"/>
      <c r="F42" s="33">
        <v>60.0</v>
      </c>
      <c r="G42" s="34" t="s">
        <v>24</v>
      </c>
      <c r="H42" s="1"/>
      <c r="I42" s="1"/>
      <c r="J42" s="1"/>
      <c r="K42" s="1"/>
      <c r="L42" s="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B43" s="16">
        <v>6.0</v>
      </c>
      <c r="C43" s="17" t="s">
        <v>81</v>
      </c>
      <c r="D43" s="17" t="s">
        <v>29</v>
      </c>
      <c r="E43" s="17"/>
      <c r="F43" s="17">
        <v>120.0</v>
      </c>
      <c r="G43" s="18" t="s">
        <v>24</v>
      </c>
      <c r="H43" s="18"/>
      <c r="I43" s="18"/>
      <c r="J43" s="18"/>
      <c r="K43" s="18"/>
      <c r="L43" s="17" t="s">
        <v>82</v>
      </c>
    </row>
    <row r="44" ht="15.75" customHeight="1">
      <c r="B44" s="16">
        <v>7.0</v>
      </c>
      <c r="C44" s="17" t="s">
        <v>83</v>
      </c>
      <c r="D44" s="17" t="str">
        <f>D43</f>
        <v>1 Lote</v>
      </c>
      <c r="E44" s="17"/>
      <c r="F44" s="17">
        <v>60.0</v>
      </c>
      <c r="G44" s="18" t="s">
        <v>24</v>
      </c>
      <c r="H44" s="18"/>
      <c r="I44" s="18"/>
      <c r="J44" s="18"/>
      <c r="K44" s="18"/>
      <c r="L44" s="23"/>
    </row>
    <row r="45" ht="15.75" customHeight="1">
      <c r="B45" s="16">
        <v>8.0</v>
      </c>
      <c r="C45" s="35" t="s">
        <v>84</v>
      </c>
      <c r="D45" s="17" t="s">
        <v>33</v>
      </c>
      <c r="E45" s="17"/>
      <c r="F45" s="17">
        <v>20.0</v>
      </c>
      <c r="G45" s="18"/>
      <c r="H45" s="18"/>
      <c r="I45" s="18"/>
      <c r="J45" s="18" t="s">
        <v>24</v>
      </c>
      <c r="K45" s="18"/>
      <c r="L45" s="23" t="s">
        <v>85</v>
      </c>
    </row>
    <row r="46" ht="15.75" customHeight="1">
      <c r="B46" s="16">
        <v>9.0</v>
      </c>
      <c r="C46" s="17" t="s">
        <v>86</v>
      </c>
      <c r="D46" s="17" t="s">
        <v>29</v>
      </c>
      <c r="E46" s="16">
        <v>6.0</v>
      </c>
      <c r="F46" s="17">
        <v>15.0</v>
      </c>
      <c r="G46" s="18"/>
      <c r="H46" s="18" t="s">
        <v>24</v>
      </c>
      <c r="I46" s="18"/>
      <c r="J46" s="18"/>
      <c r="K46" s="18"/>
      <c r="L46" s="17"/>
    </row>
    <row r="47" ht="15.75" customHeight="1">
      <c r="B47" s="16">
        <v>10.0</v>
      </c>
      <c r="C47" s="17" t="s">
        <v>87</v>
      </c>
      <c r="D47" s="17" t="str">
        <f t="shared" ref="D47:D49" si="3">D46</f>
        <v>1 Lote</v>
      </c>
      <c r="E47" s="16"/>
      <c r="F47" s="17">
        <v>40.0</v>
      </c>
      <c r="G47" s="18" t="s">
        <v>24</v>
      </c>
      <c r="H47" s="18"/>
      <c r="I47" s="18"/>
      <c r="J47" s="18"/>
      <c r="K47" s="18"/>
      <c r="L47" s="17"/>
    </row>
    <row r="48" ht="15.75" customHeight="1">
      <c r="B48" s="16">
        <v>11.0</v>
      </c>
      <c r="C48" s="25" t="s">
        <v>88</v>
      </c>
      <c r="D48" s="17" t="str">
        <f t="shared" si="3"/>
        <v>1 Lote</v>
      </c>
      <c r="E48" s="16"/>
      <c r="F48" s="17">
        <v>30.0</v>
      </c>
      <c r="G48" s="18" t="s">
        <v>24</v>
      </c>
      <c r="H48" s="18"/>
      <c r="I48" s="18"/>
      <c r="J48" s="18"/>
      <c r="K48" s="18"/>
      <c r="L48" s="17"/>
    </row>
    <row r="49" ht="15.75" customHeight="1">
      <c r="B49" s="16">
        <v>12.0</v>
      </c>
      <c r="C49" s="21" t="s">
        <v>89</v>
      </c>
      <c r="D49" s="17" t="str">
        <f t="shared" si="3"/>
        <v>1 Lote</v>
      </c>
      <c r="E49" s="16">
        <v>8.0</v>
      </c>
      <c r="F49" s="16">
        <v>8.0</v>
      </c>
      <c r="G49" s="18"/>
      <c r="H49" s="18" t="s">
        <v>24</v>
      </c>
      <c r="I49" s="18"/>
      <c r="J49" s="18"/>
      <c r="K49" s="18"/>
      <c r="L49" s="17"/>
    </row>
    <row r="50" ht="15.75" customHeight="1">
      <c r="B50" s="16">
        <v>13.0</v>
      </c>
      <c r="C50" s="17" t="s">
        <v>90</v>
      </c>
      <c r="D50" s="16" t="s">
        <v>91</v>
      </c>
      <c r="E50" s="17"/>
      <c r="F50" s="17">
        <f>N36</f>
        <v>0.12</v>
      </c>
      <c r="G50" s="18" t="s">
        <v>24</v>
      </c>
      <c r="H50" s="18"/>
      <c r="I50" s="18"/>
      <c r="J50" s="18"/>
      <c r="K50" s="18"/>
      <c r="L50" s="17" t="s">
        <v>92</v>
      </c>
    </row>
    <row r="51" ht="15.75" customHeight="1">
      <c r="B51" s="16">
        <v>14.0</v>
      </c>
      <c r="C51" s="17" t="s">
        <v>93</v>
      </c>
      <c r="D51" s="17" t="str">
        <f t="shared" ref="D51:D58" si="4">D50</f>
        <v>1 Lata</v>
      </c>
      <c r="E51" s="17"/>
      <c r="F51" s="17">
        <f>F50</f>
        <v>0.12</v>
      </c>
      <c r="G51" s="18" t="s">
        <v>24</v>
      </c>
      <c r="H51" s="18"/>
      <c r="I51" s="18"/>
      <c r="J51" s="18"/>
      <c r="K51" s="18"/>
      <c r="L51" s="17" t="s">
        <v>94</v>
      </c>
    </row>
    <row r="52" ht="15.75" customHeight="1">
      <c r="B52" s="16">
        <v>15.0</v>
      </c>
      <c r="C52" s="17" t="s">
        <v>95</v>
      </c>
      <c r="D52" s="17" t="str">
        <f t="shared" si="4"/>
        <v>1 Lata</v>
      </c>
      <c r="E52" s="16">
        <v>4.0</v>
      </c>
      <c r="F52" s="16">
        <v>4.0</v>
      </c>
      <c r="G52" s="18"/>
      <c r="H52" s="18" t="s">
        <v>24</v>
      </c>
      <c r="I52" s="18"/>
      <c r="J52" s="18"/>
      <c r="K52" s="18"/>
      <c r="L52" s="17"/>
    </row>
    <row r="53" ht="15.75" customHeight="1">
      <c r="B53" s="16">
        <v>16.0</v>
      </c>
      <c r="C53" s="7" t="s">
        <v>96</v>
      </c>
      <c r="D53" s="17" t="str">
        <f t="shared" si="4"/>
        <v>1 Lata</v>
      </c>
      <c r="E53" s="17"/>
      <c r="F53" s="17">
        <f>F51</f>
        <v>0.12</v>
      </c>
      <c r="G53" s="18" t="s">
        <v>24</v>
      </c>
      <c r="H53" s="18"/>
      <c r="I53" s="18"/>
      <c r="J53" s="18"/>
      <c r="K53" s="18"/>
      <c r="L53" s="17"/>
    </row>
    <row r="54" ht="15.75" customHeight="1">
      <c r="B54" s="16">
        <v>17.0</v>
      </c>
      <c r="C54" s="1" t="s">
        <v>97</v>
      </c>
      <c r="D54" s="17" t="str">
        <f t="shared" si="4"/>
        <v>1 Lata</v>
      </c>
      <c r="E54" s="17"/>
      <c r="F54" s="17">
        <f t="shared" ref="F54:F57" si="5">F53</f>
        <v>0.12</v>
      </c>
      <c r="G54" s="18" t="s">
        <v>24</v>
      </c>
      <c r="H54" s="18"/>
      <c r="I54" s="18"/>
      <c r="J54" s="18"/>
      <c r="K54" s="18"/>
      <c r="L54" s="17"/>
    </row>
    <row r="55" ht="15.75" customHeight="1">
      <c r="B55" s="16">
        <v>18.0</v>
      </c>
      <c r="C55" s="17" t="s">
        <v>98</v>
      </c>
      <c r="D55" s="17" t="str">
        <f t="shared" si="4"/>
        <v>1 Lata</v>
      </c>
      <c r="E55" s="17"/>
      <c r="F55" s="17">
        <f t="shared" si="5"/>
        <v>0.12</v>
      </c>
      <c r="G55" s="18"/>
      <c r="H55" s="18"/>
      <c r="I55" s="18"/>
      <c r="J55" s="18" t="s">
        <v>24</v>
      </c>
      <c r="K55" s="18"/>
      <c r="L55" s="17"/>
    </row>
    <row r="56" ht="15.75" customHeight="1">
      <c r="B56" s="16">
        <v>19.0</v>
      </c>
      <c r="C56" s="17" t="s">
        <v>66</v>
      </c>
      <c r="D56" s="17" t="str">
        <f t="shared" si="4"/>
        <v>1 Lata</v>
      </c>
      <c r="E56" s="17"/>
      <c r="F56" s="17">
        <f t="shared" si="5"/>
        <v>0.12</v>
      </c>
      <c r="G56" s="18" t="s">
        <v>24</v>
      </c>
      <c r="H56" s="18"/>
      <c r="I56" s="18"/>
      <c r="J56" s="18"/>
      <c r="K56" s="18"/>
      <c r="L56" s="17"/>
    </row>
    <row r="57" ht="15.75" customHeight="1">
      <c r="B57" s="16">
        <v>20.0</v>
      </c>
      <c r="C57" s="7" t="s">
        <v>99</v>
      </c>
      <c r="D57" s="17" t="str">
        <f t="shared" si="4"/>
        <v>1 Lata</v>
      </c>
      <c r="E57" s="17"/>
      <c r="F57" s="17">
        <f t="shared" si="5"/>
        <v>0.12</v>
      </c>
      <c r="G57" s="18"/>
      <c r="H57" s="18"/>
      <c r="I57" s="18"/>
      <c r="J57" s="18" t="s">
        <v>24</v>
      </c>
      <c r="K57" s="18"/>
      <c r="L57" s="16" t="s">
        <v>100</v>
      </c>
    </row>
    <row r="58" ht="15.75" customHeight="1">
      <c r="B58" s="16">
        <v>21.0</v>
      </c>
      <c r="C58" s="16" t="s">
        <v>69</v>
      </c>
      <c r="D58" s="17" t="str">
        <f t="shared" si="4"/>
        <v>1 Lata</v>
      </c>
      <c r="E58" s="16">
        <v>100.0</v>
      </c>
      <c r="F58" s="16">
        <v>100.0</v>
      </c>
      <c r="G58" s="18"/>
      <c r="H58" s="18" t="s">
        <v>24</v>
      </c>
      <c r="I58" s="17"/>
      <c r="J58" s="17"/>
      <c r="K58" s="17"/>
      <c r="L58" s="16" t="s">
        <v>71</v>
      </c>
    </row>
    <row r="59" ht="15.75" customHeight="1">
      <c r="B59" s="16">
        <v>22.0</v>
      </c>
      <c r="C59" s="1" t="s">
        <v>101</v>
      </c>
      <c r="D59" s="16" t="s">
        <v>102</v>
      </c>
      <c r="E59" s="17"/>
      <c r="F59" s="16">
        <f>F54*12</f>
        <v>1.44</v>
      </c>
      <c r="G59" s="18" t="s">
        <v>24</v>
      </c>
      <c r="H59" s="18"/>
      <c r="I59" s="18"/>
      <c r="J59" s="18"/>
      <c r="K59" s="18"/>
      <c r="L59" s="17" t="s">
        <v>103</v>
      </c>
    </row>
    <row r="60" ht="15.75" customHeight="1">
      <c r="B60" s="16">
        <v>23.0</v>
      </c>
      <c r="C60" s="17" t="s">
        <v>104</v>
      </c>
      <c r="D60" s="16" t="s">
        <v>37</v>
      </c>
      <c r="E60" s="17"/>
      <c r="F60" s="16">
        <f>N36*1440</f>
        <v>172.8</v>
      </c>
      <c r="G60" s="18"/>
      <c r="H60" s="18"/>
      <c r="I60" s="18"/>
      <c r="J60" s="18"/>
      <c r="K60" s="18" t="s">
        <v>24</v>
      </c>
      <c r="L60" s="16" t="s">
        <v>105</v>
      </c>
      <c r="M60" s="27"/>
    </row>
    <row r="61" ht="15.75" customHeight="1"/>
    <row r="62" ht="15.75" customHeight="1"/>
    <row r="63" ht="15.75" customHeight="1">
      <c r="B63" s="1"/>
      <c r="C63" s="2" t="s">
        <v>0</v>
      </c>
      <c r="D63" s="3"/>
      <c r="E63" s="4"/>
      <c r="F63" s="5" t="s">
        <v>1</v>
      </c>
      <c r="G63" s="3"/>
      <c r="H63" s="3"/>
      <c r="I63" s="3"/>
      <c r="J63" s="3"/>
      <c r="K63" s="3"/>
      <c r="L63" s="4"/>
      <c r="N63" s="19" t="s">
        <v>106</v>
      </c>
    </row>
    <row r="64" ht="15.75" customHeight="1">
      <c r="B64" s="8" t="s">
        <v>7</v>
      </c>
      <c r="C64" s="29" t="s">
        <v>107</v>
      </c>
      <c r="D64" s="3"/>
      <c r="E64" s="4"/>
      <c r="F64" s="5"/>
      <c r="G64" s="3"/>
      <c r="H64" s="3"/>
      <c r="I64" s="3"/>
      <c r="J64" s="3"/>
      <c r="K64" s="3"/>
      <c r="L64" s="4"/>
      <c r="N64" s="27" t="s">
        <v>108</v>
      </c>
    </row>
    <row r="65" ht="15.75" customHeight="1">
      <c r="B65" s="30"/>
      <c r="C65" s="11" t="s">
        <v>8</v>
      </c>
      <c r="D65" s="12" t="s">
        <v>9</v>
      </c>
      <c r="E65" s="1" t="s">
        <v>10</v>
      </c>
      <c r="F65" s="1" t="s">
        <v>11</v>
      </c>
      <c r="G65" s="5" t="s">
        <v>12</v>
      </c>
      <c r="H65" s="3"/>
      <c r="I65" s="3"/>
      <c r="J65" s="3"/>
      <c r="K65" s="4"/>
      <c r="L65" s="11" t="s">
        <v>13</v>
      </c>
      <c r="N65" s="27" t="s">
        <v>109</v>
      </c>
    </row>
    <row r="66" ht="15.75" customHeight="1">
      <c r="B66" s="15"/>
      <c r="C66" s="15"/>
      <c r="D66" s="15"/>
      <c r="E66" s="1" t="s">
        <v>16</v>
      </c>
      <c r="F66" s="1" t="s">
        <v>17</v>
      </c>
      <c r="G66" s="6" t="s">
        <v>2</v>
      </c>
      <c r="H66" s="6" t="s">
        <v>5</v>
      </c>
      <c r="I66" s="13" t="s">
        <v>14</v>
      </c>
      <c r="J66" s="6" t="s">
        <v>18</v>
      </c>
      <c r="K66" s="6" t="s">
        <v>19</v>
      </c>
      <c r="L66" s="15"/>
    </row>
    <row r="67" ht="15.75" customHeight="1">
      <c r="B67" s="16">
        <v>1.0</v>
      </c>
      <c r="C67" s="16" t="s">
        <v>110</v>
      </c>
      <c r="D67" s="16" t="s">
        <v>22</v>
      </c>
      <c r="E67" s="17"/>
      <c r="F67" s="16" t="s">
        <v>23</v>
      </c>
      <c r="G67" s="18" t="s">
        <v>24</v>
      </c>
      <c r="H67" s="17"/>
      <c r="I67" s="17"/>
      <c r="J67" s="17"/>
      <c r="K67" s="17"/>
      <c r="L67" s="16" t="s">
        <v>25</v>
      </c>
      <c r="N67" s="7">
        <f>1/(15000/3600)</f>
        <v>0.24</v>
      </c>
      <c r="O67" s="27">
        <v>640.0</v>
      </c>
    </row>
    <row r="68" ht="15.75" customHeight="1">
      <c r="B68" s="16">
        <v>2.0</v>
      </c>
      <c r="C68" s="20" t="s">
        <v>111</v>
      </c>
      <c r="D68" s="17" t="s">
        <v>37</v>
      </c>
      <c r="E68" s="17">
        <v>50.0</v>
      </c>
      <c r="F68" s="17">
        <v>10.0</v>
      </c>
      <c r="G68" s="18" t="s">
        <v>24</v>
      </c>
      <c r="H68" s="18"/>
      <c r="I68" s="18"/>
      <c r="J68" s="18"/>
      <c r="K68" s="18"/>
      <c r="L68" s="17" t="s">
        <v>30</v>
      </c>
    </row>
    <row r="69" ht="15.75" customHeight="1">
      <c r="B69" s="16">
        <v>3.0</v>
      </c>
      <c r="C69" s="1" t="s">
        <v>112</v>
      </c>
      <c r="D69" s="17" t="s">
        <v>37</v>
      </c>
      <c r="E69" s="17"/>
      <c r="F69" s="17">
        <v>40.0</v>
      </c>
      <c r="G69" s="18" t="s">
        <v>24</v>
      </c>
      <c r="H69" s="18"/>
      <c r="I69" s="18"/>
      <c r="J69" s="18"/>
      <c r="K69" s="18"/>
      <c r="L69" s="17" t="s">
        <v>113</v>
      </c>
    </row>
    <row r="70" ht="15.75" customHeight="1">
      <c r="B70" s="16">
        <v>4.0</v>
      </c>
      <c r="C70" s="21" t="s">
        <v>114</v>
      </c>
      <c r="D70" s="17" t="s">
        <v>37</v>
      </c>
      <c r="E70" s="17"/>
      <c r="F70" s="17">
        <v>60.0</v>
      </c>
      <c r="G70" s="18" t="s">
        <v>24</v>
      </c>
      <c r="H70" s="18"/>
      <c r="I70" s="18"/>
      <c r="J70" s="18"/>
      <c r="K70" s="18"/>
      <c r="L70" s="17"/>
    </row>
    <row r="71" ht="15.75" customHeight="1">
      <c r="B71" s="16">
        <v>5.0</v>
      </c>
      <c r="C71" s="17" t="s">
        <v>32</v>
      </c>
      <c r="D71" s="17" t="s">
        <v>33</v>
      </c>
      <c r="E71" s="17"/>
      <c r="F71" s="17">
        <v>30.0</v>
      </c>
      <c r="G71" s="18"/>
      <c r="H71" s="18"/>
      <c r="I71" s="18"/>
      <c r="J71" s="18" t="s">
        <v>24</v>
      </c>
      <c r="K71" s="18"/>
      <c r="L71" s="17" t="s">
        <v>115</v>
      </c>
    </row>
    <row r="72" ht="15.75" customHeight="1">
      <c r="B72" s="16">
        <v>6.0</v>
      </c>
      <c r="C72" s="17" t="s">
        <v>116</v>
      </c>
      <c r="D72" s="17" t="s">
        <v>37</v>
      </c>
      <c r="E72" s="17">
        <v>6.0</v>
      </c>
      <c r="F72" s="17">
        <v>15.0</v>
      </c>
      <c r="G72" s="18"/>
      <c r="H72" s="18" t="s">
        <v>24</v>
      </c>
      <c r="I72" s="18"/>
      <c r="J72" s="18"/>
      <c r="K72" s="18"/>
      <c r="L72" s="23"/>
    </row>
    <row r="73" ht="15.75" customHeight="1">
      <c r="B73" s="16">
        <v>7.0</v>
      </c>
      <c r="C73" s="35" t="s">
        <v>117</v>
      </c>
      <c r="D73" s="17" t="s">
        <v>37</v>
      </c>
      <c r="E73" s="17"/>
      <c r="F73" s="17">
        <v>10.0</v>
      </c>
      <c r="G73" s="18" t="s">
        <v>24</v>
      </c>
      <c r="H73" s="18"/>
      <c r="I73" s="18"/>
      <c r="J73" s="18"/>
      <c r="K73" s="18"/>
      <c r="L73" s="23"/>
    </row>
    <row r="74" ht="15.75" customHeight="1">
      <c r="B74" s="16">
        <v>8.0</v>
      </c>
      <c r="C74" s="17" t="s">
        <v>118</v>
      </c>
      <c r="D74" s="17" t="s">
        <v>70</v>
      </c>
      <c r="E74" s="17"/>
      <c r="F74" s="17">
        <f t="shared" ref="F74:F75" si="6">$N$67</f>
        <v>0.24</v>
      </c>
      <c r="G74" s="18" t="s">
        <v>24</v>
      </c>
      <c r="H74" s="18"/>
      <c r="I74" s="18"/>
      <c r="J74" s="18"/>
      <c r="K74" s="18"/>
      <c r="L74" s="17" t="s">
        <v>119</v>
      </c>
    </row>
    <row r="75" ht="15.75" customHeight="1">
      <c r="B75" s="16">
        <v>9.0</v>
      </c>
      <c r="C75" s="17" t="s">
        <v>120</v>
      </c>
      <c r="D75" s="17" t="s">
        <v>70</v>
      </c>
      <c r="E75" s="17"/>
      <c r="F75" s="17">
        <f t="shared" si="6"/>
        <v>0.24</v>
      </c>
      <c r="G75" s="18"/>
      <c r="H75" s="18"/>
      <c r="I75" s="18"/>
      <c r="J75" s="18" t="s">
        <v>24</v>
      </c>
      <c r="K75" s="18"/>
      <c r="L75" s="17"/>
    </row>
    <row r="76" ht="15.75" customHeight="1">
      <c r="B76" s="16">
        <v>10.0</v>
      </c>
      <c r="C76" s="25" t="s">
        <v>95</v>
      </c>
      <c r="D76" s="17" t="s">
        <v>70</v>
      </c>
      <c r="E76" s="17">
        <v>4.0</v>
      </c>
      <c r="F76" s="16">
        <v>4.0</v>
      </c>
      <c r="G76" s="18"/>
      <c r="H76" s="18" t="s">
        <v>24</v>
      </c>
      <c r="I76" s="18"/>
      <c r="J76" s="18"/>
      <c r="K76" s="18"/>
      <c r="L76" s="17"/>
    </row>
    <row r="77" ht="15.75" customHeight="1">
      <c r="B77" s="16">
        <v>11.0</v>
      </c>
      <c r="C77" s="21" t="s">
        <v>121</v>
      </c>
      <c r="D77" s="17" t="s">
        <v>70</v>
      </c>
      <c r="E77" s="17"/>
      <c r="F77" s="17">
        <f t="shared" ref="F77:F81" si="7">$N$67</f>
        <v>0.24</v>
      </c>
      <c r="G77" s="18" t="s">
        <v>24</v>
      </c>
      <c r="H77" s="18"/>
      <c r="I77" s="18"/>
      <c r="J77" s="18"/>
      <c r="K77" s="18"/>
      <c r="L77" s="17"/>
    </row>
    <row r="78" ht="15.75" customHeight="1">
      <c r="B78" s="16">
        <v>12.0</v>
      </c>
      <c r="C78" s="17" t="s">
        <v>122</v>
      </c>
      <c r="D78" s="17" t="s">
        <v>70</v>
      </c>
      <c r="E78" s="17"/>
      <c r="F78" s="17">
        <f t="shared" si="7"/>
        <v>0.24</v>
      </c>
      <c r="G78" s="18" t="s">
        <v>24</v>
      </c>
      <c r="H78" s="18"/>
      <c r="I78" s="18"/>
      <c r="J78" s="18"/>
      <c r="K78" s="18"/>
      <c r="L78" s="17"/>
    </row>
    <row r="79" ht="15.75" customHeight="1">
      <c r="B79" s="16">
        <v>13.0</v>
      </c>
      <c r="C79" s="17" t="s">
        <v>123</v>
      </c>
      <c r="D79" s="17" t="s">
        <v>70</v>
      </c>
      <c r="E79" s="17"/>
      <c r="F79" s="17">
        <f t="shared" si="7"/>
        <v>0.24</v>
      </c>
      <c r="G79" s="18"/>
      <c r="H79" s="18"/>
      <c r="I79" s="18"/>
      <c r="J79" s="18" t="s">
        <v>24</v>
      </c>
      <c r="K79" s="18"/>
      <c r="L79" s="17" t="s">
        <v>124</v>
      </c>
    </row>
    <row r="80" ht="15.75" customHeight="1">
      <c r="B80" s="16">
        <v>14.0</v>
      </c>
      <c r="C80" s="17" t="s">
        <v>125</v>
      </c>
      <c r="D80" s="17" t="s">
        <v>70</v>
      </c>
      <c r="E80" s="17"/>
      <c r="F80" s="17">
        <f t="shared" si="7"/>
        <v>0.24</v>
      </c>
      <c r="G80" s="18" t="s">
        <v>24</v>
      </c>
      <c r="H80" s="18"/>
      <c r="I80" s="18"/>
      <c r="J80" s="18"/>
      <c r="K80" s="18"/>
      <c r="L80" s="17"/>
    </row>
    <row r="81" ht="15.75" customHeight="1">
      <c r="B81" s="16">
        <v>15.0</v>
      </c>
      <c r="C81" s="7" t="s">
        <v>126</v>
      </c>
      <c r="D81" s="17" t="s">
        <v>70</v>
      </c>
      <c r="E81" s="17"/>
      <c r="F81" s="17">
        <f t="shared" si="7"/>
        <v>0.24</v>
      </c>
      <c r="G81" s="18" t="s">
        <v>24</v>
      </c>
      <c r="H81" s="18"/>
      <c r="I81" s="18"/>
      <c r="J81" s="18"/>
      <c r="K81" s="18"/>
      <c r="L81" s="17"/>
    </row>
    <row r="82" ht="15.75" customHeight="1">
      <c r="B82" s="16">
        <v>16.0</v>
      </c>
      <c r="C82" s="1" t="s">
        <v>67</v>
      </c>
      <c r="D82" s="17" t="s">
        <v>33</v>
      </c>
      <c r="E82" s="17"/>
      <c r="F82" s="16">
        <v>10.0</v>
      </c>
      <c r="G82" s="18"/>
      <c r="H82" s="18"/>
      <c r="I82" s="18"/>
      <c r="J82" s="18" t="s">
        <v>24</v>
      </c>
      <c r="K82" s="18"/>
      <c r="L82" s="17"/>
    </row>
    <row r="83" ht="15.75" customHeight="1">
      <c r="B83" s="16">
        <v>17.0</v>
      </c>
      <c r="C83" s="16" t="s">
        <v>69</v>
      </c>
      <c r="D83" s="16" t="s">
        <v>127</v>
      </c>
      <c r="E83" s="16">
        <v>100.0</v>
      </c>
      <c r="F83" s="16">
        <v>100.0</v>
      </c>
      <c r="G83" s="18"/>
      <c r="H83" s="18" t="s">
        <v>24</v>
      </c>
      <c r="I83" s="17"/>
      <c r="J83" s="17"/>
      <c r="K83" s="17"/>
      <c r="L83" s="16" t="s">
        <v>71</v>
      </c>
    </row>
    <row r="84" ht="15.75" customHeight="1">
      <c r="B84" s="16">
        <v>18.0</v>
      </c>
      <c r="C84" s="17" t="s">
        <v>128</v>
      </c>
      <c r="D84" s="16" t="s">
        <v>127</v>
      </c>
      <c r="E84" s="17"/>
      <c r="F84" s="16">
        <f>10*N67</f>
        <v>2.4</v>
      </c>
      <c r="G84" s="18" t="s">
        <v>24</v>
      </c>
      <c r="H84" s="18"/>
      <c r="I84" s="18"/>
      <c r="J84" s="18"/>
      <c r="K84" s="18"/>
      <c r="L84" s="17" t="s">
        <v>103</v>
      </c>
    </row>
    <row r="85" ht="15.75" customHeight="1">
      <c r="B85" s="16">
        <v>19.0</v>
      </c>
      <c r="C85" s="17" t="s">
        <v>104</v>
      </c>
      <c r="D85" s="17" t="s">
        <v>37</v>
      </c>
      <c r="E85" s="17"/>
      <c r="F85" s="16">
        <v>150.0</v>
      </c>
      <c r="G85" s="18"/>
      <c r="H85" s="18"/>
      <c r="I85" s="18"/>
      <c r="J85" s="18"/>
      <c r="K85" s="18" t="s">
        <v>24</v>
      </c>
      <c r="L85" s="16" t="s">
        <v>129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8">
    <mergeCell ref="G4:K4"/>
    <mergeCell ref="L4:L5"/>
    <mergeCell ref="N13:S13"/>
    <mergeCell ref="C2:E2"/>
    <mergeCell ref="F2:L2"/>
    <mergeCell ref="C3:E3"/>
    <mergeCell ref="F3:L3"/>
    <mergeCell ref="B4:B5"/>
    <mergeCell ref="C4:C5"/>
    <mergeCell ref="D4:D5"/>
    <mergeCell ref="C34:E34"/>
    <mergeCell ref="F34:L34"/>
    <mergeCell ref="B35:B37"/>
    <mergeCell ref="C35:E35"/>
    <mergeCell ref="F35:L35"/>
    <mergeCell ref="C36:C37"/>
    <mergeCell ref="D36:D37"/>
    <mergeCell ref="C65:C66"/>
    <mergeCell ref="D65:D66"/>
    <mergeCell ref="G65:K65"/>
    <mergeCell ref="L65:L66"/>
    <mergeCell ref="G36:K36"/>
    <mergeCell ref="L36:L37"/>
    <mergeCell ref="C63:E63"/>
    <mergeCell ref="F63:L63"/>
    <mergeCell ref="B64:B66"/>
    <mergeCell ref="C64:E64"/>
    <mergeCell ref="F64:L64"/>
  </mergeCells>
  <printOptions/>
  <pageMargins bottom="0.75" footer="0.0" header="0.0" left="0.25" right="0.25" top="0.75"/>
  <pageSetup scale="9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3.88"/>
    <col customWidth="1" min="5" max="5" width="15.38"/>
    <col customWidth="1" min="6" max="6" width="58.38"/>
    <col customWidth="1" min="7" max="7" width="22.63"/>
    <col customWidth="1" min="8" max="8" width="20.13"/>
    <col customWidth="1" min="9" max="9" width="19.13"/>
  </cols>
  <sheetData>
    <row r="2">
      <c r="B2" s="27" t="s">
        <v>130</v>
      </c>
      <c r="G2" s="14"/>
    </row>
    <row r="3">
      <c r="B3" s="27" t="s">
        <v>131</v>
      </c>
      <c r="C3" s="27" t="s">
        <v>132</v>
      </c>
      <c r="D3" s="27" t="s">
        <v>133</v>
      </c>
      <c r="E3" s="27" t="s">
        <v>134</v>
      </c>
      <c r="F3" s="27" t="s">
        <v>135</v>
      </c>
      <c r="G3" s="19" t="s">
        <v>136</v>
      </c>
    </row>
    <row r="4">
      <c r="B4" s="27" t="s">
        <v>137</v>
      </c>
      <c r="C4" s="27" t="s">
        <v>138</v>
      </c>
      <c r="D4" s="36">
        <v>3600.0</v>
      </c>
      <c r="E4" s="27" t="s">
        <v>17</v>
      </c>
      <c r="F4" s="27" t="s">
        <v>139</v>
      </c>
      <c r="G4" s="19" t="s">
        <v>140</v>
      </c>
    </row>
    <row r="5">
      <c r="B5" s="19" t="s">
        <v>141</v>
      </c>
      <c r="C5" s="27" t="s">
        <v>14</v>
      </c>
      <c r="D5" s="36">
        <v>20000.0</v>
      </c>
      <c r="E5" s="27" t="s">
        <v>142</v>
      </c>
      <c r="F5" s="27" t="s">
        <v>139</v>
      </c>
      <c r="G5" s="19" t="s">
        <v>140</v>
      </c>
    </row>
    <row r="6">
      <c r="B6" s="19" t="s">
        <v>143</v>
      </c>
      <c r="C6" s="27" t="s">
        <v>144</v>
      </c>
      <c r="D6" s="37">
        <f>D4/D5</f>
        <v>0.18</v>
      </c>
      <c r="E6" s="27" t="s">
        <v>145</v>
      </c>
      <c r="F6" s="27" t="s">
        <v>139</v>
      </c>
      <c r="G6" s="19" t="s">
        <v>146</v>
      </c>
    </row>
    <row r="7" ht="157.5" customHeight="1">
      <c r="B7" s="38" t="s">
        <v>147</v>
      </c>
      <c r="C7" s="38" t="s">
        <v>148</v>
      </c>
      <c r="D7" s="36">
        <v>0.1</v>
      </c>
      <c r="E7" s="38" t="s">
        <v>17</v>
      </c>
      <c r="F7" s="39" t="s">
        <v>149</v>
      </c>
      <c r="G7" s="40"/>
      <c r="H7" s="38">
        <f>(391-255)/1440</f>
        <v>0.09444444444</v>
      </c>
      <c r="I7" s="41" t="s">
        <v>150</v>
      </c>
    </row>
    <row r="8" ht="30.0" customHeight="1">
      <c r="B8" s="27" t="s">
        <v>151</v>
      </c>
      <c r="C8" s="27" t="s">
        <v>152</v>
      </c>
      <c r="D8" s="36">
        <v>0.03</v>
      </c>
      <c r="E8" s="27" t="s">
        <v>17</v>
      </c>
      <c r="F8" s="41" t="s">
        <v>153</v>
      </c>
    </row>
    <row r="9" ht="30.0" customHeight="1">
      <c r="B9" s="27" t="s">
        <v>154</v>
      </c>
      <c r="C9" s="27" t="s">
        <v>155</v>
      </c>
      <c r="D9" s="36">
        <v>0.0</v>
      </c>
      <c r="E9" s="27" t="s">
        <v>17</v>
      </c>
      <c r="F9" s="41" t="s">
        <v>156</v>
      </c>
    </row>
    <row r="10">
      <c r="B10" s="27" t="s">
        <v>157</v>
      </c>
      <c r="C10" s="27" t="s">
        <v>158</v>
      </c>
      <c r="D10" s="37">
        <f>H7+D8+D9</f>
        <v>0.1244444444</v>
      </c>
      <c r="E10" s="27" t="s">
        <v>17</v>
      </c>
    </row>
    <row r="11">
      <c r="B11" s="27" t="s">
        <v>159</v>
      </c>
      <c r="C11" s="27" t="s">
        <v>160</v>
      </c>
      <c r="D11" s="36">
        <v>1440.0</v>
      </c>
      <c r="E11" s="27" t="s">
        <v>142</v>
      </c>
    </row>
    <row r="12">
      <c r="B12" s="27" t="s">
        <v>161</v>
      </c>
      <c r="C12" s="27" t="s">
        <v>162</v>
      </c>
      <c r="D12" s="36">
        <f>1440/140000*3600</f>
        <v>37.02857143</v>
      </c>
      <c r="E12" s="27" t="s">
        <v>17</v>
      </c>
      <c r="H12" s="41" t="s">
        <v>163</v>
      </c>
      <c r="I12" s="27">
        <f>1440/140000*3600</f>
        <v>37.02857143</v>
      </c>
    </row>
    <row r="13">
      <c r="B13" s="27" t="s">
        <v>164</v>
      </c>
      <c r="C13" s="27" t="s">
        <v>165</v>
      </c>
      <c r="D13" s="37">
        <f>(D12+D11*D10)/60</f>
        <v>3.603809524</v>
      </c>
      <c r="E13" s="27" t="s">
        <v>166</v>
      </c>
      <c r="G13" s="27" t="s">
        <v>167</v>
      </c>
      <c r="H13" s="7">
        <f>20000/1440</f>
        <v>13.88888889</v>
      </c>
      <c r="I13" s="7">
        <f>D13*H13</f>
        <v>50.05291005</v>
      </c>
      <c r="J13" s="27" t="s">
        <v>168</v>
      </c>
    </row>
    <row r="14">
      <c r="B14" s="27" t="s">
        <v>169</v>
      </c>
      <c r="C14" s="27" t="s">
        <v>170</v>
      </c>
      <c r="D14" s="36">
        <f>0.01*1440</f>
        <v>14.4</v>
      </c>
      <c r="E14" s="27" t="s">
        <v>17</v>
      </c>
      <c r="F14" s="41" t="s">
        <v>171</v>
      </c>
    </row>
    <row r="15">
      <c r="B15" s="42" t="s">
        <v>172</v>
      </c>
      <c r="C15" s="42" t="s">
        <v>173</v>
      </c>
      <c r="D15" s="43">
        <f>(D14+D13*60)/60</f>
        <v>3.843809524</v>
      </c>
      <c r="E15" s="42" t="s">
        <v>166</v>
      </c>
      <c r="F15" s="44"/>
      <c r="G15" s="44"/>
      <c r="H15" s="44"/>
    </row>
    <row r="16">
      <c r="B16" s="27" t="s">
        <v>174</v>
      </c>
      <c r="C16" s="27" t="s">
        <v>175</v>
      </c>
      <c r="D16" s="37">
        <f>D13*60/D11</f>
        <v>0.1501587302</v>
      </c>
      <c r="E16" s="27" t="s">
        <v>17</v>
      </c>
      <c r="F16" s="27"/>
    </row>
    <row r="17">
      <c r="B17" s="42" t="s">
        <v>176</v>
      </c>
      <c r="C17" s="42" t="s">
        <v>177</v>
      </c>
      <c r="D17" s="43">
        <f>3600/D16</f>
        <v>23974.63002</v>
      </c>
      <c r="E17" s="42" t="s">
        <v>178</v>
      </c>
      <c r="F17" s="44"/>
      <c r="G17" s="44"/>
      <c r="H17" s="44"/>
    </row>
    <row r="18">
      <c r="B18" s="27" t="s">
        <v>179</v>
      </c>
      <c r="C18" s="27" t="s">
        <v>180</v>
      </c>
      <c r="D18" s="36">
        <v>2.0</v>
      </c>
      <c r="E18" s="27" t="s">
        <v>181</v>
      </c>
      <c r="F18" s="45" t="s">
        <v>182</v>
      </c>
    </row>
    <row r="19">
      <c r="B19" s="27" t="s">
        <v>183</v>
      </c>
      <c r="C19" s="27" t="s">
        <v>184</v>
      </c>
      <c r="D19" s="37">
        <f>7*3</f>
        <v>21</v>
      </c>
      <c r="E19" s="27" t="s">
        <v>185</v>
      </c>
    </row>
    <row r="20">
      <c r="B20" s="27" t="s">
        <v>186</v>
      </c>
      <c r="C20" s="27" t="s">
        <v>187</v>
      </c>
      <c r="D20" s="36">
        <v>7.0</v>
      </c>
      <c r="E20" s="27" t="s">
        <v>188</v>
      </c>
    </row>
    <row r="21">
      <c r="B21" s="42" t="s">
        <v>189</v>
      </c>
      <c r="C21" s="42" t="s">
        <v>190</v>
      </c>
      <c r="D21" s="46">
        <f>D18*D19*D20*D17</f>
        <v>7048541.226</v>
      </c>
      <c r="E21" s="42" t="s">
        <v>191</v>
      </c>
      <c r="F21" s="44"/>
      <c r="G21" s="44"/>
      <c r="H21" s="44"/>
    </row>
    <row r="22">
      <c r="B22" s="27" t="s">
        <v>192</v>
      </c>
      <c r="C22" s="27" t="s">
        <v>160</v>
      </c>
      <c r="D22" s="27">
        <f>D5*D18*D19*D20</f>
        <v>5880000</v>
      </c>
      <c r="E22" s="27" t="s">
        <v>191</v>
      </c>
      <c r="F22" s="27" t="s">
        <v>193</v>
      </c>
    </row>
    <row r="23">
      <c r="B23" s="27" t="s">
        <v>194</v>
      </c>
      <c r="C23" s="27" t="s">
        <v>195</v>
      </c>
      <c r="D23" s="27">
        <f>D22/D21*100</f>
        <v>83.42151675</v>
      </c>
      <c r="E23" s="27" t="s">
        <v>196</v>
      </c>
      <c r="F23" s="27" t="s">
        <v>197</v>
      </c>
    </row>
    <row r="24">
      <c r="B24" s="27" t="s">
        <v>198</v>
      </c>
      <c r="C24" s="27" t="s">
        <v>199</v>
      </c>
      <c r="E24" s="27" t="s">
        <v>17</v>
      </c>
    </row>
    <row r="25">
      <c r="B25" s="27" t="s">
        <v>200</v>
      </c>
      <c r="C25" s="27" t="s">
        <v>201</v>
      </c>
      <c r="E25" s="27" t="s">
        <v>17</v>
      </c>
    </row>
    <row r="26">
      <c r="B26" s="47" t="s">
        <v>202</v>
      </c>
      <c r="C26" s="27" t="s">
        <v>203</v>
      </c>
      <c r="E26" s="27" t="s">
        <v>17</v>
      </c>
    </row>
    <row r="27">
      <c r="B27" s="47" t="s">
        <v>204</v>
      </c>
      <c r="C27" s="27" t="s">
        <v>205</v>
      </c>
      <c r="E27" s="27" t="s">
        <v>17</v>
      </c>
    </row>
    <row r="28">
      <c r="B28" s="47" t="s">
        <v>206</v>
      </c>
      <c r="C28" s="27" t="s">
        <v>207</v>
      </c>
      <c r="E28" s="27" t="s">
        <v>17</v>
      </c>
    </row>
    <row r="29">
      <c r="B29" s="47" t="s">
        <v>208</v>
      </c>
      <c r="C29" s="27" t="s">
        <v>209</v>
      </c>
      <c r="E29" s="27" t="s">
        <v>17</v>
      </c>
    </row>
    <row r="30">
      <c r="B30" s="47" t="s">
        <v>210</v>
      </c>
      <c r="C30" s="27" t="s">
        <v>211</v>
      </c>
      <c r="E30" s="27" t="s">
        <v>17</v>
      </c>
    </row>
    <row r="31">
      <c r="B31" s="47" t="s">
        <v>212</v>
      </c>
      <c r="C31" s="27" t="s">
        <v>213</v>
      </c>
      <c r="E31" s="27" t="s">
        <v>17</v>
      </c>
    </row>
    <row r="32">
      <c r="B32" s="47" t="s">
        <v>214</v>
      </c>
      <c r="C32" s="27" t="s">
        <v>215</v>
      </c>
      <c r="E32" s="27" t="s">
        <v>17</v>
      </c>
    </row>
    <row r="33">
      <c r="B33" s="47" t="s">
        <v>216</v>
      </c>
      <c r="C33" s="27" t="s">
        <v>217</v>
      </c>
      <c r="E33" s="27" t="s">
        <v>17</v>
      </c>
    </row>
    <row r="34">
      <c r="B34" s="47" t="s">
        <v>218</v>
      </c>
      <c r="C34" s="27" t="s">
        <v>219</v>
      </c>
      <c r="E34" s="27" t="s">
        <v>17</v>
      </c>
    </row>
    <row r="35">
      <c r="B35" s="47" t="s">
        <v>220</v>
      </c>
      <c r="C35" s="27" t="s">
        <v>221</v>
      </c>
      <c r="E35" s="27" t="s">
        <v>17</v>
      </c>
    </row>
    <row r="36">
      <c r="B36" s="47" t="s">
        <v>222</v>
      </c>
      <c r="C36" s="27" t="s">
        <v>223</v>
      </c>
      <c r="E36" s="27" t="s">
        <v>17</v>
      </c>
    </row>
    <row r="37">
      <c r="B37" s="47" t="s">
        <v>224</v>
      </c>
      <c r="C37" s="27" t="s">
        <v>225</v>
      </c>
      <c r="E37" s="27" t="s">
        <v>17</v>
      </c>
    </row>
    <row r="38">
      <c r="B38" s="27" t="s">
        <v>226</v>
      </c>
      <c r="C38" s="27" t="s">
        <v>227</v>
      </c>
      <c r="D38" s="27">
        <v>240.0</v>
      </c>
      <c r="E38" s="27" t="s">
        <v>17</v>
      </c>
      <c r="F38" s="41" t="s">
        <v>228</v>
      </c>
    </row>
    <row r="39">
      <c r="B39" s="27" t="s">
        <v>229</v>
      </c>
      <c r="C39" s="27" t="s">
        <v>230</v>
      </c>
      <c r="D39" s="27">
        <v>120.0</v>
      </c>
      <c r="E39" s="27" t="s">
        <v>17</v>
      </c>
      <c r="F39" s="41" t="s">
        <v>231</v>
      </c>
    </row>
    <row r="40">
      <c r="B40" s="42" t="s">
        <v>232</v>
      </c>
      <c r="C40" s="42" t="s">
        <v>233</v>
      </c>
      <c r="D40" s="44">
        <f>SUM(D24:D39)</f>
        <v>360</v>
      </c>
      <c r="E40" s="42" t="s">
        <v>17</v>
      </c>
      <c r="F40" s="44"/>
      <c r="G40" s="44"/>
      <c r="H40" s="44"/>
    </row>
    <row r="41">
      <c r="B41" s="27" t="s">
        <v>234</v>
      </c>
      <c r="C41" s="27" t="s">
        <v>235</v>
      </c>
      <c r="D41" s="7">
        <f>D42*8</f>
        <v>28800</v>
      </c>
      <c r="E41" s="27" t="s">
        <v>17</v>
      </c>
      <c r="F41" s="27" t="s">
        <v>236</v>
      </c>
    </row>
    <row r="42">
      <c r="B42" s="27" t="s">
        <v>237</v>
      </c>
      <c r="C42" s="27" t="s">
        <v>238</v>
      </c>
      <c r="D42" s="27">
        <v>3600.0</v>
      </c>
      <c r="E42" s="27" t="s">
        <v>17</v>
      </c>
      <c r="F42" s="27" t="s">
        <v>239</v>
      </c>
    </row>
    <row r="43">
      <c r="B43" s="27" t="s">
        <v>240</v>
      </c>
      <c r="C43" s="27" t="s">
        <v>241</v>
      </c>
      <c r="D43" s="7">
        <f>D41-D42</f>
        <v>25200</v>
      </c>
      <c r="E43" s="27" t="s">
        <v>17</v>
      </c>
    </row>
    <row r="44">
      <c r="B44" s="27" t="s">
        <v>242</v>
      </c>
      <c r="C44" s="27" t="s">
        <v>243</v>
      </c>
      <c r="D44" s="7">
        <f>D43*0.03</f>
        <v>756</v>
      </c>
      <c r="E44" s="27" t="s">
        <v>17</v>
      </c>
      <c r="F44" s="27" t="s">
        <v>244</v>
      </c>
    </row>
    <row r="45">
      <c r="B45" s="27" t="s">
        <v>245</v>
      </c>
      <c r="C45" s="27" t="s">
        <v>246</v>
      </c>
      <c r="D45" s="7">
        <f>D43-D44</f>
        <v>24444</v>
      </c>
      <c r="E45" s="27" t="s">
        <v>17</v>
      </c>
      <c r="F45" s="27" t="s">
        <v>244</v>
      </c>
    </row>
    <row r="46">
      <c r="B46" s="27" t="s">
        <v>247</v>
      </c>
      <c r="C46" s="27" t="s">
        <v>248</v>
      </c>
      <c r="D46" s="7">
        <f>D45/D43*100</f>
        <v>97</v>
      </c>
      <c r="E46" s="27" t="s">
        <v>196</v>
      </c>
      <c r="F46" s="27" t="s">
        <v>244</v>
      </c>
    </row>
    <row r="47">
      <c r="B47" s="27" t="s">
        <v>249</v>
      </c>
      <c r="C47" s="27" t="s">
        <v>250</v>
      </c>
      <c r="D47" s="7">
        <f>D43*0.97</f>
        <v>24444</v>
      </c>
      <c r="E47" s="27" t="s">
        <v>17</v>
      </c>
      <c r="F47" s="27" t="s">
        <v>244</v>
      </c>
    </row>
    <row r="48">
      <c r="B48" s="27" t="s">
        <v>251</v>
      </c>
      <c r="C48" s="27" t="s">
        <v>252</v>
      </c>
      <c r="D48" s="7">
        <f>D43*0.03</f>
        <v>756</v>
      </c>
      <c r="E48" s="27" t="s">
        <v>17</v>
      </c>
      <c r="F48" s="27" t="s">
        <v>244</v>
      </c>
    </row>
    <row r="49">
      <c r="B49" s="27" t="s">
        <v>253</v>
      </c>
      <c r="C49" s="27" t="s">
        <v>248</v>
      </c>
      <c r="D49" s="7">
        <f>D47/(D47+D48)</f>
        <v>0.97</v>
      </c>
      <c r="E49" s="27" t="s">
        <v>196</v>
      </c>
      <c r="F49" s="27" t="s">
        <v>244</v>
      </c>
    </row>
    <row r="50">
      <c r="B50" s="27" t="s">
        <v>254</v>
      </c>
      <c r="C50" s="27" t="s">
        <v>255</v>
      </c>
      <c r="D50" s="27">
        <f>D45*7*0.97</f>
        <v>165974.76</v>
      </c>
      <c r="E50" s="27" t="s">
        <v>256</v>
      </c>
      <c r="F50" s="41" t="s">
        <v>257</v>
      </c>
    </row>
    <row r="51">
      <c r="B51" s="27" t="s">
        <v>258</v>
      </c>
      <c r="C51" s="27" t="s">
        <v>259</v>
      </c>
      <c r="D51" s="36">
        <f>D45/D50</f>
        <v>0.147275405</v>
      </c>
      <c r="E51" s="27" t="s">
        <v>145</v>
      </c>
      <c r="F51" s="41" t="s">
        <v>260</v>
      </c>
    </row>
    <row r="52">
      <c r="B52" s="27" t="s">
        <v>261</v>
      </c>
      <c r="C52" s="27" t="s">
        <v>262</v>
      </c>
      <c r="D52" s="37">
        <f>D51*D50/D45</f>
        <v>1</v>
      </c>
      <c r="E52" s="27" t="s">
        <v>140</v>
      </c>
    </row>
    <row r="53">
      <c r="B53" s="27" t="s">
        <v>263</v>
      </c>
      <c r="C53" s="27" t="s">
        <v>264</v>
      </c>
      <c r="D53" s="48">
        <f>D6/D51</f>
        <v>1.2222</v>
      </c>
      <c r="E53" s="27" t="s">
        <v>140</v>
      </c>
    </row>
    <row r="54">
      <c r="B54" s="27" t="s">
        <v>265</v>
      </c>
      <c r="C54" s="27" t="s">
        <v>266</v>
      </c>
      <c r="D54" s="48">
        <f>D52*D53</f>
        <v>1.2222</v>
      </c>
      <c r="E54" s="27" t="s">
        <v>140</v>
      </c>
    </row>
    <row r="55">
      <c r="B55" s="27" t="s">
        <v>267</v>
      </c>
      <c r="C55" s="27" t="s">
        <v>268</v>
      </c>
      <c r="D55" s="7">
        <f>23000*7*0.03</f>
        <v>4830</v>
      </c>
      <c r="F55" s="41" t="s">
        <v>269</v>
      </c>
    </row>
    <row r="56">
      <c r="B56" s="27" t="s">
        <v>270</v>
      </c>
      <c r="C56" s="27" t="s">
        <v>271</v>
      </c>
      <c r="D56" s="48">
        <f>(D50-D55)/D50</f>
        <v>0.9708991897</v>
      </c>
    </row>
    <row r="57">
      <c r="B57" s="27" t="s">
        <v>272</v>
      </c>
      <c r="C57" s="27" t="s">
        <v>273</v>
      </c>
      <c r="D57" s="7">
        <f>D49*D54*D56</f>
        <v>1.151034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2026-03-06T16:20:07Z</dcterms:created>
  <dc:creator>Santiago Camilo Fonseca Prieto</dc:creator>
</cp:coreProperties>
</file>